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'Register'!$A$4:$M$269</definedName>
    <definedName name="_xlnm._FilterDatabase" localSheetId="11" hidden="1">'Test Program'!$A$5:$I$31</definedName>
    <definedName name="_xlnm._FilterDatabase" localSheetId="12" hidden="1">'Findings'!$A$4:$F$24</definedName>
    <definedName name="_xlnm._FilterDatabase" localSheetId="14" hidden="1">'Checks'!$A$4:$G$23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  <font>
      <name val="Calibri"/>
      <b val="1"/>
      <color rgb="00006100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2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0" fontId="10" fillId="6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v1.4 · 20 v1.1 · 21 v1.0 · 22 v1.1 · 30 v1.2 · 31 v1.0 · 40 v1.4 · 50 v1.2)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F1–F6, X1–X12, X14,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265</t>
        </is>
      </c>
      <c r="C3" s="3">
        <f>CONCATENATE("PENDING a named test: ",COUNTIF(J5:J269,"PENDING*")," rows")</f>
        <v/>
      </c>
      <c r="D3" s="5" t="n"/>
      <c r="E3" s="6" t="n"/>
      <c r="F3" s="3">
        <f>CONCATENATE("Requirements: ",COUNTIF(J5:J269,"requirement"),"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IN-002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Two-stage HDH humidifier grade</t>
        </is>
      </c>
      <c r="E220" s="4" t="inlineStr">
        <is>
          <t>T</t>
        </is>
      </c>
      <c r="F220" s="17" t="n"/>
      <c r="G220" s="17" t="n">
        <v>75</v>
      </c>
      <c r="H220" s="17" t="n">
        <v>85</v>
      </c>
      <c r="I220" s="4" t="inlineStr">
        <is>
          <t>°C</t>
        </is>
      </c>
      <c r="J220" s="4" t="inlineStr">
        <is>
          <t>sizing-grade</t>
        </is>
      </c>
      <c r="K220" s="4" t="inlineStr"/>
      <c r="L220" s="4" t="inlineStr">
        <is>
          <t>Below the potash rung, above the amine rung</t>
        </is>
      </c>
      <c r="M220" s="4" t="inlineStr">
        <is>
          <t>30 §2</t>
        </is>
      </c>
    </row>
    <row r="221">
      <c r="A221" s="3" t="inlineStr">
        <is>
          <t>IN-003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HDH gained output ratio</t>
        </is>
      </c>
      <c r="E221" s="4" t="inlineStr">
        <is>
          <t>GOR</t>
        </is>
      </c>
      <c r="F221" s="17" t="n"/>
      <c r="G221" s="17" t="n">
        <v>2.2</v>
      </c>
      <c r="H221" s="17" t="n">
        <v>2.8</v>
      </c>
      <c r="I221" s="4" t="inlineStr">
        <is>
          <t>—</t>
        </is>
      </c>
      <c r="J221" s="4" t="inlineStr">
        <is>
          <t>sizing-grade</t>
        </is>
      </c>
      <c r="K221" s="4" t="inlineStr"/>
      <c r="L221" s="4" t="inlineStr">
        <is>
          <t>Warm sink pinches the cold end to ~34 °C — lab GOR-4+ does not transfer</t>
        </is>
      </c>
      <c r="M221" s="4" t="inlineStr">
        <is>
          <t>30 §3</t>
        </is>
      </c>
    </row>
    <row r="222">
      <c r="A222" s="3" t="inlineStr">
        <is>
          <t>IN-004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yield per unit heat</t>
        </is>
      </c>
      <c r="E222" s="4" t="inlineStr">
        <is>
          <t>V̇</t>
        </is>
      </c>
      <c r="F222" s="17" t="n">
        <v>90</v>
      </c>
      <c r="G222" s="17" t="n"/>
      <c r="H222" s="17" t="n"/>
      <c r="I222" s="4" t="inlineStr">
        <is>
          <t>L/day·kW</t>
        </is>
      </c>
      <c r="J222" s="4" t="inlineStr">
        <is>
          <t>sizing-grade</t>
        </is>
      </c>
      <c r="K222" s="4" t="inlineStr"/>
      <c r="L222" s="4" t="inlineStr">
        <is>
          <t>Raw-water feed sites only; never pointed at cabin air</t>
        </is>
      </c>
      <c r="M222" s="4" t="inlineStr">
        <is>
          <t>30 §3</t>
        </is>
      </c>
    </row>
    <row r="223">
      <c r="A223" s="3" t="inlineStr">
        <is>
          <t>IN-005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stranded humidity at pinch</t>
        </is>
      </c>
      <c r="E223" s="4" t="inlineStr">
        <is>
          <t>ω</t>
        </is>
      </c>
      <c r="F223" s="17" t="n">
        <v>35</v>
      </c>
      <c r="G223" s="17" t="n"/>
      <c r="H223" s="17" t="n"/>
      <c r="I223" s="4" t="inlineStr">
        <is>
          <t>g/kg</t>
        </is>
      </c>
      <c r="J223" s="4" t="inlineStr">
        <is>
          <t>sizing-grade</t>
        </is>
      </c>
      <c r="K223" s="4" t="inlineStr"/>
      <c r="L223" s="4" t="inlineStr">
        <is>
          <t>Desiccant polish stage recaptures +20–25% when heat is free</t>
        </is>
      </c>
      <c r="M223" s="4" t="inlineStr">
        <is>
          <t>30 §3</t>
        </is>
      </c>
    </row>
    <row r="224">
      <c r="A224" s="3" t="inlineStr">
        <is>
          <t>IN-006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Resistive-HDH energy penalty vs RO</t>
        </is>
      </c>
      <c r="E224" s="4" t="inlineStr">
        <is>
          <t>—</t>
        </is>
      </c>
      <c r="F224" s="17" t="n">
        <v>27</v>
      </c>
      <c r="G224" s="17" t="n"/>
      <c r="H224" s="17" t="n"/>
      <c r="I224" s="4" t="inlineStr">
        <is>
          <t>×</t>
        </is>
      </c>
      <c r="J224" s="4" t="inlineStr">
        <is>
          <t>reference</t>
        </is>
      </c>
      <c r="K224" s="4" t="inlineStr"/>
      <c r="L224" s="4" t="inlineStr">
        <is>
          <t>Clipped-solar dump load and last resort only</t>
        </is>
      </c>
      <c r="M224" s="4" t="inlineStr">
        <is>
          <t>30 §2</t>
        </is>
      </c>
    </row>
    <row r="225">
      <c r="A225" s="3" t="inlineStr">
        <is>
          <t>IN-007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Marine RO specific energy</t>
        </is>
      </c>
      <c r="E225" s="4" t="inlineStr">
        <is>
          <t>e</t>
        </is>
      </c>
      <c r="F225" s="17" t="n"/>
      <c r="G225" s="17" t="n">
        <v>4</v>
      </c>
      <c r="H225" s="17" t="n">
        <v>20</v>
      </c>
      <c r="I225" s="4" t="inlineStr">
        <is>
          <t>Wh/L</t>
        </is>
      </c>
      <c r="J225" s="4" t="inlineStr">
        <is>
          <t>reference</t>
        </is>
      </c>
      <c r="K225" s="4" t="inlineStr"/>
      <c r="L225" s="4" t="inlineStr">
        <is>
          <t>The honest benchmark for deliberately manufactured water</t>
        </is>
      </c>
      <c r="M225" s="4" t="inlineStr">
        <is>
          <t>20 §7</t>
        </is>
      </c>
    </row>
    <row r="226">
      <c r="A226" s="3" t="inlineStr">
        <is>
          <t>IN-008</t>
        </is>
      </c>
      <c r="B226" s="4" t="inlineStr">
        <is>
          <t>Platform</t>
        </is>
      </c>
      <c r="C226" s="4" t="inlineStr">
        <is>
          <t>Sources</t>
        </is>
      </c>
      <c r="D226" s="4" t="inlineStr">
        <is>
          <t>PVT thermal grade</t>
        </is>
      </c>
      <c r="E226" s="4" t="inlineStr">
        <is>
          <t>T</t>
        </is>
      </c>
      <c r="F226" s="17" t="n"/>
      <c r="G226" s="17" t="n">
        <v>45</v>
      </c>
      <c r="H226" s="17" t="n">
        <v>50</v>
      </c>
      <c r="I226" s="4" t="inlineStr">
        <is>
          <t>°C</t>
        </is>
      </c>
      <c r="J226" s="4" t="inlineStr">
        <is>
          <t>procurement-grade</t>
        </is>
      </c>
      <c r="K226" s="4" t="inlineStr"/>
      <c r="L226" s="4" t="inlineStr">
        <is>
          <t>Cannot reach HDH grade; F2-dead for direct solid-bed regen</t>
        </is>
      </c>
      <c r="M226" s="4" t="inlineStr">
        <is>
          <t>30 §2</t>
        </is>
      </c>
    </row>
    <row r="227">
      <c r="A227" s="3" t="inlineStr">
        <is>
          <t>IN-009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panel mass</t>
        </is>
      </c>
      <c r="E227" s="4" t="inlineStr">
        <is>
          <t>m</t>
        </is>
      </c>
      <c r="F227" s="17" t="n">
        <v>36</v>
      </c>
      <c r="G227" s="17" t="n"/>
      <c r="H227" s="17" t="n"/>
      <c r="I227" s="4" t="inlineStr">
        <is>
          <t>kg</t>
        </is>
      </c>
      <c r="J227" s="4" t="inlineStr">
        <is>
          <t>procurement-grade</t>
        </is>
      </c>
      <c r="K227" s="4" t="inlineStr"/>
      <c r="L227" s="4" t="inlineStr">
        <is>
          <t>Beyond two panels the marginal thermal output has no user</t>
        </is>
      </c>
      <c r="M227" s="4" t="inlineStr">
        <is>
          <t>30 §4</t>
        </is>
      </c>
    </row>
    <row r="228">
      <c r="A228" s="3" t="inlineStr">
        <is>
          <t>IN-010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ETC collector band</t>
        </is>
      </c>
      <c r="E228" s="4" t="inlineStr">
        <is>
          <t>T</t>
        </is>
      </c>
      <c r="F228" s="17" t="n"/>
      <c r="G228" s="17" t="n">
        <v>60</v>
      </c>
      <c r="H228" s="17" t="n">
        <v>93</v>
      </c>
      <c r="I228" s="4" t="inlineStr">
        <is>
          <t>°C</t>
        </is>
      </c>
      <c r="J228" s="4" t="inlineStr">
        <is>
          <t>procurement-grade</t>
        </is>
      </c>
      <c r="K228" s="4" t="inlineStr"/>
      <c r="L228" s="4" t="inlineStr">
        <is>
          <t>The liquid track's full grade band (X2) — the solar comfort island</t>
        </is>
      </c>
      <c r="M228" s="4" t="inlineStr">
        <is>
          <t>30 §2</t>
        </is>
      </c>
    </row>
    <row r="229">
      <c r="A229" s="3" t="inlineStr">
        <is>
          <t>IN-011</t>
        </is>
      </c>
      <c r="B229" s="4" t="inlineStr">
        <is>
          <t>Platform</t>
        </is>
      </c>
      <c r="C229" s="4" t="inlineStr">
        <is>
          <t>Water ladder</t>
        </is>
      </c>
      <c r="D229" s="4" t="inlineStr">
        <is>
          <t>Solid-track condensate surplus</t>
        </is>
      </c>
      <c r="E229" s="4" t="inlineStr">
        <is>
          <t>V̇</t>
        </is>
      </c>
      <c r="F229" s="17" t="n"/>
      <c r="G229" s="17" t="n">
        <v>50</v>
      </c>
      <c r="H229" s="17" t="n">
        <v>70</v>
      </c>
      <c r="I229" s="4" t="inlineStr">
        <is>
          <t>L/day</t>
        </is>
      </c>
      <c r="J229" s="4" t="inlineStr">
        <is>
          <t>sizing-grade</t>
        </is>
      </c>
      <c r="K229" s="4" t="inlineStr">
        <is>
          <t>T2</t>
        </is>
      </c>
      <c r="L229" s="4" t="inlineStr">
        <is>
          <t>Independent of HDH hardware — a real redundancy path</t>
        </is>
      </c>
      <c r="M229" s="4" t="inlineStr">
        <is>
          <t>30 §5</t>
        </is>
      </c>
    </row>
    <row r="230">
      <c r="A230" s="3" t="inlineStr">
        <is>
          <t>IN-012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Liquid-track still distillate</t>
        </is>
      </c>
      <c r="E230" s="4" t="inlineStr">
        <is>
          <t>V̇</t>
        </is>
      </c>
      <c r="F230" s="17" t="n"/>
      <c r="G230" s="17" t="n">
        <v>8</v>
      </c>
      <c r="H230" s="17" t="n">
        <v>18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G</t>
        </is>
      </c>
      <c r="L230" s="4" t="inlineStr">
        <is>
          <t>The solar-independent path; also the M-cycle feed</t>
        </is>
      </c>
      <c r="M230" s="4" t="inlineStr">
        <is>
          <t>30 §5</t>
        </is>
      </c>
    </row>
    <row r="231">
      <c r="A231" s="3" t="inlineStr">
        <is>
          <t>IN-013</t>
        </is>
      </c>
      <c r="B231" s="4" t="inlineStr">
        <is>
          <t>Platform</t>
        </is>
      </c>
      <c r="C231" s="4" t="inlineStr">
        <is>
          <t>Comfort</t>
        </is>
      </c>
      <c r="D231" s="4" t="inlineStr">
        <is>
          <t>Conductive cooling pad duty</t>
        </is>
      </c>
      <c r="E231" s="4" t="inlineStr">
        <is>
          <t>Q</t>
        </is>
      </c>
      <c r="F231" s="17" t="n"/>
      <c r="G231" s="17" t="n">
        <v>70</v>
      </c>
      <c r="H231" s="17" t="n">
        <v>90</v>
      </c>
      <c r="I231" s="4" t="inlineStr">
        <is>
          <t>W</t>
        </is>
      </c>
      <c r="J231" s="4" t="inlineStr">
        <is>
          <t>sizing-grade</t>
        </is>
      </c>
      <c r="K231" s="4" t="inlineStr"/>
      <c r="L231" s="4" t="inlineStr">
        <is>
          <t>Sleeping; skin 33–35 °C vs 29 °C sink through a Ti/CuNi plate HX</t>
        </is>
      </c>
      <c r="M231" s="4" t="inlineStr">
        <is>
          <t>30 §3</t>
        </is>
      </c>
    </row>
    <row r="232">
      <c r="A232" s="3" t="inlineStr">
        <is>
          <t>IN-014</t>
        </is>
      </c>
      <c r="B232" s="4" t="inlineStr">
        <is>
          <t>Platform</t>
        </is>
      </c>
      <c r="C232" s="4" t="inlineStr">
        <is>
          <t>Raw water</t>
        </is>
      </c>
      <c r="D232" s="4" t="inlineStr">
        <is>
          <t>Marine intake depth</t>
        </is>
      </c>
      <c r="E232" s="4" t="inlineStr">
        <is>
          <t>d</t>
        </is>
      </c>
      <c r="F232" s="17" t="n"/>
      <c r="G232" s="17" t="n">
        <v>5</v>
      </c>
      <c r="H232" s="17" t="n">
        <v>10</v>
      </c>
      <c r="I232" s="4" t="inlineStr">
        <is>
          <t>m</t>
        </is>
      </c>
      <c r="J232" s="4" t="inlineStr">
        <is>
          <t>procurement-grade</t>
        </is>
      </c>
      <c r="K232" s="4" t="inlineStr"/>
      <c r="L232" s="4" t="inlineStr">
        <is>
          <t>For stability and cleanliness, NOT temperature (mixed layer isothermal to 20–40 m)</t>
        </is>
      </c>
      <c r="M232" s="4" t="inlineStr">
        <is>
          <t>30 §3</t>
        </is>
      </c>
    </row>
    <row r="233">
      <c r="A233" s="3" t="inlineStr">
        <is>
          <t>IN-015</t>
        </is>
      </c>
      <c r="B233" s="4" t="inlineStr">
        <is>
          <t>Platform</t>
        </is>
      </c>
      <c r="C233" s="4" t="inlineStr">
        <is>
          <t>Marine</t>
        </is>
      </c>
      <c r="D233" s="4" t="inlineStr">
        <is>
          <t>Design heel / roll</t>
        </is>
      </c>
      <c r="E233" s="4" t="inlineStr">
        <is>
          <t>θ</t>
        </is>
      </c>
      <c r="F233" s="17" t="n"/>
      <c r="G233" s="17" t="n">
        <v>15</v>
      </c>
      <c r="H233" s="17" t="n">
        <v>20</v>
      </c>
      <c r="I233" s="4" t="inlineStr">
        <is>
          <t>°</t>
        </is>
      </c>
      <c r="J233" s="4" t="inlineStr">
        <is>
          <t>requirement</t>
        </is>
      </c>
      <c r="K233" s="4" t="inlineStr">
        <is>
          <t>I, H</t>
        </is>
      </c>
      <c r="L233" s="4" t="inlineStr">
        <is>
          <t>Flooded-mode fallbacks, staged headers, anti-slosh rules</t>
        </is>
      </c>
      <c r="M233" s="4" t="inlineStr">
        <is>
          <t>00 §1</t>
        </is>
      </c>
    </row>
    <row r="234">
      <c r="A234" s="3" t="inlineStr">
        <is>
          <t>IN-016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Passive fluid-path heel rating</t>
        </is>
      </c>
      <c r="E234" s="4" t="inlineStr">
        <is>
          <t>θ</t>
        </is>
      </c>
      <c r="F234" s="17" t="n">
        <v>30</v>
      </c>
      <c r="G234" s="17" t="n"/>
      <c r="H234" s="17" t="n"/>
      <c r="I234" s="4" t="inlineStr">
        <is>
          <t>°</t>
        </is>
      </c>
      <c r="J234" s="4" t="inlineStr">
        <is>
          <t>requirement</t>
        </is>
      </c>
      <c r="K234" s="4" t="inlineStr"/>
      <c r="L234" s="4" t="inlineStr">
        <is>
          <t>Thermosyphons, wicked heat pipes, trapped siphons, check-valved backups</t>
        </is>
      </c>
      <c r="M234" s="4" t="inlineStr">
        <is>
          <t>30 §7</t>
        </is>
      </c>
    </row>
    <row r="235">
      <c r="A235" s="3" t="inlineStr">
        <is>
          <t>IN-017</t>
        </is>
      </c>
      <c r="B235" s="4" t="inlineStr">
        <is>
          <t>Platform</t>
        </is>
      </c>
      <c r="C235" s="4" t="inlineStr">
        <is>
          <t>Interface</t>
        </is>
      </c>
      <c r="D235" s="4" t="inlineStr">
        <is>
          <t>Cascade tap — liquid-track sealed still</t>
        </is>
      </c>
      <c r="E235" s="4" t="inlineStr">
        <is>
          <t>T</t>
        </is>
      </c>
      <c r="F235" s="17" t="n"/>
      <c r="G235" s="17" t="n">
        <v>60</v>
      </c>
      <c r="H235" s="17" t="n">
        <v>93</v>
      </c>
      <c r="I235" s="4" t="inlineStr">
        <is>
          <t>°C</t>
        </is>
      </c>
      <c r="J235" s="4" t="inlineStr">
        <is>
          <t>requirement</t>
        </is>
      </c>
      <c r="K235" s="4" t="inlineStr">
        <is>
          <t>D</t>
        </is>
      </c>
      <c r="L235" s="4" t="inlineStr">
        <is>
          <t>Interface requirement on any source; grade from LQ-067 / IN-010 (X2)</t>
        </is>
      </c>
      <c r="M235" s="4" t="inlineStr">
        <is>
          <t>30, function statement</t>
        </is>
      </c>
    </row>
    <row r="236">
      <c r="A236" s="3" t="inlineStr">
        <is>
          <t>IN-018</t>
        </is>
      </c>
      <c r="B236" s="4" t="inlineStr">
        <is>
          <t>Platform</t>
        </is>
      </c>
      <c r="C236" s="4" t="inlineStr">
        <is>
          <t>Interface</t>
        </is>
      </c>
      <c r="D236" s="4" t="inlineStr">
        <is>
          <t>Cascade tap — solid-track regeneration</t>
        </is>
      </c>
      <c r="E236" s="4" t="inlineStr">
        <is>
          <t>T</t>
        </is>
      </c>
      <c r="F236" s="17" t="n"/>
      <c r="G236" s="17" t="n">
        <v>60</v>
      </c>
      <c r="H236" s="17" t="n">
        <v>65</v>
      </c>
      <c r="I236" s="4" t="inlineStr">
        <is>
          <t>°C</t>
        </is>
      </c>
      <c r="J236" s="4" t="inlineStr">
        <is>
          <t>requirement</t>
        </is>
      </c>
      <c r="K236" s="4" t="inlineStr">
        <is>
          <t>M2</t>
        </is>
      </c>
      <c r="L236" s="4" t="inlineStr">
        <is>
          <t>Interface requirement on any source; grade from SD-024 (F2)</t>
        </is>
      </c>
      <c r="M236" s="4" t="inlineStr">
        <is>
          <t>30, function statement</t>
        </is>
      </c>
    </row>
    <row r="237">
      <c r="A237" s="3" t="inlineStr">
        <is>
          <t>IN-019</t>
        </is>
      </c>
      <c r="B237" s="4" t="inlineStr">
        <is>
          <t>Platform</t>
        </is>
      </c>
      <c r="C237" s="4" t="inlineStr">
        <is>
          <t>Interface</t>
        </is>
      </c>
      <c r="D237" s="4" t="inlineStr">
        <is>
          <t>Cascade tap — potash CO₂ bed where primary</t>
        </is>
      </c>
      <c r="E237" s="4" t="inlineStr">
        <is>
          <t>T</t>
        </is>
      </c>
      <c r="F237" s="17" t="n">
        <v>130</v>
      </c>
      <c r="G237" s="17" t="n"/>
      <c r="H237" s="17" t="n"/>
      <c r="I237" s="4" t="inlineStr">
        <is>
          <t>°C</t>
        </is>
      </c>
      <c r="J237" s="4" t="inlineStr">
        <is>
          <t>requirement</t>
        </is>
      </c>
      <c r="K237" s="4" t="inlineStr">
        <is>
          <t>J-K</t>
        </is>
      </c>
      <c r="L237" s="4" t="inlineStr">
        <is>
          <t>Interface requirement, platform-conditional; grade from CO2-024 (X11). Stated as a floor (≥ ~130 °C)</t>
        </is>
      </c>
      <c r="M237" s="4" t="inlineStr">
        <is>
          <t>30, function statement</t>
        </is>
      </c>
    </row>
    <row r="238">
      <c r="A238" s="3" t="inlineStr">
        <is>
          <t>UP-001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Absorption heat transformer COP</t>
        </is>
      </c>
      <c r="E238" s="4" t="inlineStr">
        <is>
          <t>COP</t>
        </is>
      </c>
      <c r="F238" s="17" t="n"/>
      <c r="G238" s="17" t="n">
        <v>0.45</v>
      </c>
      <c r="H238" s="17" t="n">
        <v>0.48</v>
      </c>
      <c r="I238" s="4" t="inlineStr">
        <is>
          <t>—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Upgraded heat ÷ driving heat, before losses</t>
        </is>
      </c>
      <c r="M238" s="4" t="inlineStr">
        <is>
          <t>31 §2.4</t>
        </is>
      </c>
    </row>
    <row r="239">
      <c r="A239" s="3" t="inlineStr">
        <is>
          <t>UP-002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Evaporator temperature</t>
        </is>
      </c>
      <c r="E239" s="4" t="inlineStr">
        <is>
          <t>T_ev</t>
        </is>
      </c>
      <c r="F239" s="17" t="n"/>
      <c r="G239" s="17" t="n">
        <v>60</v>
      </c>
      <c r="H239" s="17" t="n">
        <v>65</v>
      </c>
      <c r="I239" s="4" t="inlineStr">
        <is>
          <t>°C</t>
        </is>
      </c>
      <c r="J239" s="4" t="inlineStr">
        <is>
          <t>estimate-grade</t>
        </is>
      </c>
      <c r="K239" s="4" t="inlineStr">
        <is>
          <t>L</t>
        </is>
      </c>
      <c r="L239" s="4" t="inlineStr">
        <is>
          <t>The waste tail itself, boiling distillate at ~20–25 kPa</t>
        </is>
      </c>
      <c r="M239" s="4" t="inlineStr">
        <is>
          <t>31 §2.2</t>
        </is>
      </c>
    </row>
    <row r="240">
      <c r="A240" s="3" t="inlineStr">
        <is>
          <t>UP-003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Absorber (delivered) temperature</t>
        </is>
      </c>
      <c r="E240" s="4" t="inlineStr">
        <is>
          <t>T_abs</t>
        </is>
      </c>
      <c r="F240" s="17" t="n"/>
      <c r="G240" s="17" t="n">
        <v>85</v>
      </c>
      <c r="H240" s="17" t="n">
        <v>90</v>
      </c>
      <c r="I240" s="4" t="inlineStr">
        <is>
          <t>°C</t>
        </is>
      </c>
      <c r="J240" s="4" t="inlineStr">
        <is>
          <t>estimate-grade</t>
        </is>
      </c>
      <c r="K240" s="4" t="inlineStr">
        <is>
          <t>L</t>
        </is>
      </c>
      <c r="L240" s="4" t="inlineStr">
        <is>
          <t>Amine-bed regen grade + hot-regen still grade</t>
        </is>
      </c>
      <c r="M240" s="4" t="inlineStr">
        <is>
          <t>31 §2.2</t>
        </is>
      </c>
    </row>
    <row r="241">
      <c r="A241" s="3" t="inlineStr">
        <is>
          <t>UP-004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Gross temperature lift</t>
        </is>
      </c>
      <c r="E241" s="4" t="inlineStr">
        <is>
          <t>ΔT</t>
        </is>
      </c>
      <c r="F241" s="17" t="n"/>
      <c r="G241" s="17" t="n">
        <v>20</v>
      </c>
      <c r="H241" s="17" t="n">
        <v>25</v>
      </c>
      <c r="I241" s="4" t="inlineStr">
        <is>
          <t>K</t>
        </is>
      </c>
      <c r="J241" s="4" t="inlineStr">
        <is>
          <t>estimate-grade</t>
        </is>
      </c>
      <c r="K241" s="4" t="inlineStr">
        <is>
          <t>L</t>
        </is>
      </c>
      <c r="L241" s="4" t="inlineStr"/>
      <c r="M241" s="4" t="inlineStr">
        <is>
          <t>31 §2.3</t>
        </is>
      </c>
    </row>
    <row r="242">
      <c r="A242" s="3" t="inlineStr">
        <is>
          <t>UP-005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Lift ceiling, 44 wt% @ T_ev 65 °C</t>
        </is>
      </c>
      <c r="E242" s="4" t="inlineStr">
        <is>
          <t>T_abs</t>
        </is>
      </c>
      <c r="F242" s="17" t="n">
        <v>91</v>
      </c>
      <c r="G242" s="17" t="n"/>
      <c r="H242" s="17" t="n"/>
      <c r="I242" s="4" t="inlineStr">
        <is>
          <t>°C</t>
        </is>
      </c>
      <c r="J242" s="4" t="inlineStr">
        <is>
          <t>estimate-grade</t>
        </is>
      </c>
      <c r="K242" s="4" t="inlineStr">
        <is>
          <t>A, L</t>
        </is>
      </c>
      <c r="L242" s="4" t="inlineStr">
        <is>
          <t>aw(x)·Psat(T_abs) &lt; Psat(T_ev); 85–86 °C at T_ev 60 °C</t>
        </is>
      </c>
      <c r="M242" s="4" t="inlineStr">
        <is>
          <t>31 §2.3</t>
        </is>
      </c>
    </row>
    <row r="243">
      <c r="A243" s="3" t="inlineStr">
        <is>
          <t>UP-006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Lift ceiling, 42 wt% @ T_ev 65 °C</t>
        </is>
      </c>
      <c r="E243" s="4" t="inlineStr">
        <is>
          <t>T_abs</t>
        </is>
      </c>
      <c r="F243" s="17" t="n">
        <v>86.5</v>
      </c>
      <c r="G243" s="17" t="n">
        <v>86</v>
      </c>
      <c r="H243" s="17" t="n">
        <v>87</v>
      </c>
      <c r="I243" s="4" t="inlineStr">
        <is>
          <t>°C</t>
        </is>
      </c>
      <c r="J243" s="4" t="inlineStr">
        <is>
          <t>estimate-grade</t>
        </is>
      </c>
      <c r="K243" s="4" t="inlineStr">
        <is>
          <t>A, L</t>
        </is>
      </c>
      <c r="L243" s="4" t="inlineStr">
        <is>
          <t>81 °C at T_ev 60 °C</t>
        </is>
      </c>
      <c r="M243" s="4" t="inlineStr">
        <is>
          <t>31 §2.3</t>
        </is>
      </c>
    </row>
    <row r="244">
      <c r="A244" s="3" t="inlineStr">
        <is>
          <t>UP-007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Tail heat per unit upgraded heat</t>
        </is>
      </c>
      <c r="E244" s="4" t="inlineStr">
        <is>
          <t>—</t>
        </is>
      </c>
      <c r="F244" s="17" t="n">
        <v>2.2</v>
      </c>
      <c r="G244" s="17" t="n"/>
      <c r="H244" s="17" t="n"/>
      <c r="I244" s="4" t="inlineStr">
        <is>
          <t>kW/kW</t>
        </is>
      </c>
      <c r="J244" s="4" t="inlineStr">
        <is>
          <t>estimate-grade</t>
        </is>
      </c>
      <c r="K244" s="4" t="inlineStr">
        <is>
          <t>L</t>
        </is>
      </c>
      <c r="L244" s="4" t="inlineStr">
        <is>
          <t>~5 kWh/day tail delivers the CO₂ battery's 2–2.5 kWh/day at grade</t>
        </is>
      </c>
      <c r="M244" s="4" t="inlineStr">
        <is>
          <t>31 §2.4</t>
        </is>
      </c>
    </row>
    <row r="245">
      <c r="A245" s="3" t="inlineStr">
        <is>
          <t>UP-008</t>
        </is>
      </c>
      <c r="B245" s="4" t="inlineStr">
        <is>
          <t>Upgrade</t>
        </is>
      </c>
      <c r="C245" s="4" t="inlineStr">
        <is>
          <t>X12 AHT</t>
        </is>
      </c>
      <c r="D245" s="4" t="inlineStr">
        <is>
          <t>Distillate lift pump head</t>
        </is>
      </c>
      <c r="E245" s="4" t="inlineStr">
        <is>
          <t>ΔP</t>
        </is>
      </c>
      <c r="F245" s="17" t="n">
        <v>16</v>
      </c>
      <c r="G245" s="17" t="n"/>
      <c r="H245" s="17" t="n"/>
      <c r="I245" s="4" t="inlineStr">
        <is>
          <t>kPa</t>
        </is>
      </c>
      <c r="J245" s="4" t="inlineStr">
        <is>
          <t>estimate-grade</t>
        </is>
      </c>
      <c r="K245" s="4" t="inlineStr"/>
      <c r="L245" s="4" t="inlineStr">
        <is>
          <t>Watt-scale peristaltic — unlike LiBr machines' solution pump</t>
        </is>
      </c>
      <c r="M245" s="4" t="inlineStr">
        <is>
          <t>31 §2.2</t>
        </is>
      </c>
    </row>
    <row r="246">
      <c r="A246" s="3" t="inlineStr">
        <is>
          <t>UP-009</t>
        </is>
      </c>
      <c r="B246" s="4" t="inlineStr">
        <is>
          <t>Upgrade</t>
        </is>
      </c>
      <c r="C246" s="4" t="inlineStr">
        <is>
          <t>X12 AHT</t>
        </is>
      </c>
      <c r="D246" s="4" t="inlineStr">
        <is>
          <t>Absorption latent release</t>
        </is>
      </c>
      <c r="E246" s="4" t="inlineStr">
        <is>
          <t>h</t>
        </is>
      </c>
      <c r="F246" s="17" t="n">
        <v>2.6</v>
      </c>
      <c r="G246" s="17" t="n"/>
      <c r="H246" s="17" t="n"/>
      <c r="I246" s="4" t="inlineStr">
        <is>
          <t>MJ/kg</t>
        </is>
      </c>
      <c r="J246" s="4" t="inlineStr">
        <is>
          <t>reference</t>
        </is>
      </c>
      <c r="K246" s="4" t="inlineStr"/>
      <c r="L246" s="4" t="inlineStr">
        <is>
          <t>Released at the brine's temperature — the whole X12 finding</t>
        </is>
      </c>
      <c r="M246" s="4" t="inlineStr">
        <is>
          <t>31 §2.1</t>
        </is>
      </c>
    </row>
    <row r="247">
      <c r="A247" s="3" t="inlineStr">
        <is>
          <t>UP-010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Electrical draw</t>
        </is>
      </c>
      <c r="E247" s="4" t="inlineStr">
        <is>
          <t>P_e</t>
        </is>
      </c>
      <c r="F247" s="17" t="n"/>
      <c r="G247" s="17" t="n">
        <v>350</v>
      </c>
      <c r="H247" s="17" t="n">
        <v>500</v>
      </c>
      <c r="I247" s="4" t="inlineStr">
        <is>
          <t>W</t>
        </is>
      </c>
      <c r="J247" s="4" t="inlineStr">
        <is>
          <t>estimate-grade</t>
        </is>
      </c>
      <c r="K247" s="4" t="inlineStr">
        <is>
          <t>I</t>
        </is>
      </c>
      <c r="L247" s="4" t="inlineStr">
        <is>
          <t>5× step over the 25–80 W baseline — boost mode only</t>
        </is>
      </c>
      <c r="M247" s="4" t="inlineStr">
        <is>
          <t>31 §3</t>
        </is>
      </c>
    </row>
    <row r="248">
      <c r="A248" s="3" t="inlineStr">
        <is>
          <t>UP-011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Evaporator duty</t>
        </is>
      </c>
      <c r="E248" s="4" t="inlineStr">
        <is>
          <t>Q_ev</t>
        </is>
      </c>
      <c r="F248" s="17" t="n"/>
      <c r="G248" s="17" t="n">
        <v>0.8</v>
      </c>
      <c r="H248" s="17" t="n">
        <v>1</v>
      </c>
      <c r="I248" s="4" t="inlineStr">
        <is>
          <t>kW</t>
        </is>
      </c>
      <c r="J248" s="4" t="inlineStr">
        <is>
          <t>estimate-grade</t>
        </is>
      </c>
      <c r="K248" s="4" t="inlineStr">
        <is>
          <t>I</t>
        </is>
      </c>
      <c r="L248" s="4" t="inlineStr">
        <is>
          <t>0.66 kW absorption heat + parasitic ingress through the contactor</t>
        </is>
      </c>
      <c r="M248" s="4" t="inlineStr">
        <is>
          <t>31 §3</t>
        </is>
      </c>
    </row>
    <row r="249">
      <c r="A249" s="3" t="inlineStr">
        <is>
          <t>UP-012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Condenser output</t>
        </is>
      </c>
      <c r="E249" s="4" t="inlineStr">
        <is>
          <t>Q_c</t>
        </is>
      </c>
      <c r="F249" s="17" t="n"/>
      <c r="G249" s="17" t="n">
        <v>1.1</v>
      </c>
      <c r="H249" s="17" t="n">
        <v>1.5</v>
      </c>
      <c r="I249" s="4" t="inlineStr">
        <is>
          <t>kW</t>
        </is>
      </c>
      <c r="J249" s="4" t="inlineStr">
        <is>
          <t>estimate-grade</t>
        </is>
      </c>
      <c r="K249" s="4" t="inlineStr"/>
      <c r="L249" s="4" t="inlineStr">
        <is>
          <t>Covers the 0.92 kW regen peak with surplus into the buffer</t>
        </is>
      </c>
      <c r="M249" s="4" t="inlineStr">
        <is>
          <t>31 §3</t>
        </is>
      </c>
    </row>
    <row r="250">
      <c r="A250" s="3" t="inlineStr">
        <is>
          <t>UP-013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Real heating COP at ~55 K lift</t>
        </is>
      </c>
      <c r="E250" s="4" t="inlineStr">
        <is>
          <t>COP_h</t>
        </is>
      </c>
      <c r="F250" s="17" t="n"/>
      <c r="G250" s="17" t="n">
        <v>2.5</v>
      </c>
      <c r="H250" s="17" t="n">
        <v>3</v>
      </c>
      <c r="I250" s="4" t="inlineStr">
        <is>
          <t>—</t>
        </is>
      </c>
      <c r="J250" s="4" t="inlineStr">
        <is>
          <t>estimate-grade</t>
        </is>
      </c>
      <c r="K250" s="4" t="inlineStr"/>
      <c r="L250" s="4" t="inlineStr">
        <is>
          <t>Small hermetic, inverter-driven</t>
        </is>
      </c>
      <c r="M250" s="4" t="inlineStr">
        <is>
          <t>31 §3</t>
        </is>
      </c>
    </row>
    <row r="251">
      <c r="A251" s="3" t="inlineStr">
        <is>
          <t>UP-014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Net floor gain at 20 °C brine</t>
        </is>
      </c>
      <c r="E251" s="4" t="inlineStr">
        <is>
          <t>Δω</t>
        </is>
      </c>
      <c r="F251" s="17" t="n"/>
      <c r="G251" s="17" t="n">
        <v>3.5</v>
      </c>
      <c r="H251" s="17" t="n">
        <v>4.5</v>
      </c>
      <c r="I251" s="4" t="inlineStr">
        <is>
          <t>g/kg</t>
        </is>
      </c>
      <c r="J251" s="4" t="inlineStr">
        <is>
          <t>estimate-grade</t>
        </is>
      </c>
      <c r="K251" s="4" t="inlineStr">
        <is>
          <t>A, I</t>
        </is>
      </c>
      <c r="L251" s="4" t="inlineStr">
        <is>
          <t>Most of the LiCl/hot-regen benefit for ~400 W and no new chemistry</t>
        </is>
      </c>
      <c r="M251" s="4" t="inlineStr">
        <is>
          <t>31 §3</t>
        </is>
      </c>
    </row>
    <row r="252">
      <c r="A252" s="3" t="inlineStr">
        <is>
          <t>UP-015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Glycol-loop approach penalty</t>
        </is>
      </c>
      <c r="E252" s="4" t="inlineStr">
        <is>
          <t>Δω</t>
        </is>
      </c>
      <c r="F252" s="17" t="n"/>
      <c r="G252" s="17" t="n">
        <v>1.5</v>
      </c>
      <c r="H252" s="17" t="n">
        <v>2</v>
      </c>
      <c r="I252" s="4" t="inlineStr">
        <is>
          <t>g/kg</t>
        </is>
      </c>
      <c r="J252" s="4" t="inlineStr">
        <is>
          <t>estimate-grade</t>
        </is>
      </c>
      <c r="K252" s="4" t="inlineStr"/>
      <c r="L252" s="4" t="inlineStr">
        <is>
          <t>Cost of the 2–3 K two-worlds isolation approach</t>
        </is>
      </c>
      <c r="M252" s="4" t="inlineStr">
        <is>
          <t>31 §3</t>
        </is>
      </c>
    </row>
    <row r="253">
      <c r="A253" s="3" t="inlineStr">
        <is>
          <t>UP-016</t>
        </is>
      </c>
      <c r="B253" s="4" t="inlineStr">
        <is>
          <t>Upgrade</t>
        </is>
      </c>
      <c r="C253" s="4" t="inlineStr">
        <is>
          <t>VC heat pump</t>
        </is>
      </c>
      <c r="D253" s="4" t="inlineStr">
        <is>
          <t>R290 condensing pressure at 70 °C</t>
        </is>
      </c>
      <c r="E253" s="4" t="inlineStr">
        <is>
          <t>P</t>
        </is>
      </c>
      <c r="F253" s="17" t="n">
        <v>2.6</v>
      </c>
      <c r="G253" s="17" t="n"/>
      <c r="H253" s="17" t="n"/>
      <c r="I253" s="4" t="inlineStr">
        <is>
          <t>MPa</t>
        </is>
      </c>
      <c r="J253" s="4" t="inlineStr">
        <is>
          <t>reference</t>
        </is>
      </c>
      <c r="K253" s="4" t="inlineStr"/>
      <c r="L253" s="4" t="inlineStr">
        <is>
          <t>Procurement winner: 0.5–1 kW HPWH rotaries; T_crit 96.7 °C</t>
        </is>
      </c>
      <c r="M253" s="4" t="inlineStr">
        <is>
          <t>31 §3</t>
        </is>
      </c>
    </row>
    <row r="254">
      <c r="A254" s="3" t="inlineStr">
        <is>
          <t>UP-017</t>
        </is>
      </c>
      <c r="B254" s="4" t="inlineStr">
        <is>
          <t>Upgrade</t>
        </is>
      </c>
      <c r="C254" s="4" t="inlineStr">
        <is>
          <t>VC heat pump</t>
        </is>
      </c>
      <c r="D254" s="4" t="inlineStr">
        <is>
          <t>R600a condensing pressure at 70 °C</t>
        </is>
      </c>
      <c r="E254" s="4" t="inlineStr">
        <is>
          <t>P</t>
        </is>
      </c>
      <c r="F254" s="17" t="n">
        <v>1.05</v>
      </c>
      <c r="G254" s="17" t="n"/>
      <c r="H254" s="17" t="n"/>
      <c r="I254" s="4" t="inlineStr">
        <is>
          <t>MPa</t>
        </is>
      </c>
      <c r="J254" s="4" t="inlineStr">
        <is>
          <t>reference</t>
        </is>
      </c>
      <c r="K254" s="4" t="inlineStr"/>
      <c r="L254" s="4" t="inlineStr">
        <is>
          <t>Best thermodynamic fit; charge 150–300 g, A3 flammable</t>
        </is>
      </c>
      <c r="M254" s="4" t="inlineStr">
        <is>
          <t>31 §3</t>
        </is>
      </c>
    </row>
    <row r="255">
      <c r="A255" s="3" t="inlineStr">
        <is>
          <t>UP-018</t>
        </is>
      </c>
      <c r="B255" s="4" t="inlineStr">
        <is>
          <t>Upgrade</t>
        </is>
      </c>
      <c r="C255" s="4" t="inlineStr">
        <is>
          <t>Rejected</t>
        </is>
      </c>
      <c r="D255" s="4" t="inlineStr">
        <is>
          <t>Prime-mover heat pump electrical draw</t>
        </is>
      </c>
      <c r="E255" s="4" t="inlineStr">
        <is>
          <t>P_e</t>
        </is>
      </c>
      <c r="F255" s="17" t="n">
        <v>2</v>
      </c>
      <c r="G255" s="17" t="n"/>
      <c r="H255" s="17" t="n"/>
      <c r="I255" s="4" t="inlineStr">
        <is>
          <t>kW</t>
        </is>
      </c>
      <c r="J255" s="4" t="inlineStr">
        <is>
          <t>rejected</t>
        </is>
      </c>
      <c r="K255" s="4" t="inlineStr"/>
      <c r="L255" s="4" t="inlineStr">
        <is>
          <t>At ~35 K sink-to-regen lift, COP_h 3.5–4 — loses to a VC-AC outright</t>
        </is>
      </c>
      <c r="M255" s="4" t="inlineStr">
        <is>
          <t>31 §1</t>
        </is>
      </c>
    </row>
    <row r="256">
      <c r="A256" s="3" t="inlineStr">
        <is>
          <t>UP-019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Electrical draw at 0.88 kg/h</t>
        </is>
      </c>
      <c r="E256" s="4" t="inlineStr">
        <is>
          <t>P_e</t>
        </is>
      </c>
      <c r="F256" s="17" t="n"/>
      <c r="G256" s="17" t="n">
        <v>110</v>
      </c>
      <c r="H256" s="17" t="n">
        <v>140</v>
      </c>
      <c r="I256" s="4" t="inlineStr">
        <is>
          <t>W</t>
        </is>
      </c>
      <c r="J256" s="4" t="inlineStr">
        <is>
          <t>estimate-grade</t>
        </is>
      </c>
      <c r="K256" s="4" t="inlineStr"/>
      <c r="L256" s="4" t="inlineStr">
        <is>
          <t>PV-scale: makes the moisture battery rechargeable through a heat outage</t>
        </is>
      </c>
      <c r="M256" s="4" t="inlineStr">
        <is>
          <t>31 §4</t>
        </is>
      </c>
    </row>
    <row r="257">
      <c r="A257" s="3" t="inlineStr">
        <is>
          <t>UP-020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Specific compression work</t>
        </is>
      </c>
      <c r="E257" s="4" t="inlineStr">
        <is>
          <t>w</t>
        </is>
      </c>
      <c r="F257" s="17" t="n"/>
      <c r="G257" s="17" t="n">
        <v>120</v>
      </c>
      <c r="H257" s="17" t="n">
        <v>160</v>
      </c>
      <c r="I257" s="4" t="inlineStr">
        <is>
          <t>Wh/kg</t>
        </is>
      </c>
      <c r="J257" s="4" t="inlineStr">
        <is>
          <t>estimate-grade</t>
        </is>
      </c>
      <c r="K257" s="4" t="inlineStr"/>
      <c r="L257" s="4" t="inlineStr">
        <is>
          <t>vs ~1,800 Wh/kg thermal</t>
        </is>
      </c>
      <c r="M257" s="4" t="inlineStr">
        <is>
          <t>31 §4</t>
        </is>
      </c>
    </row>
    <row r="258">
      <c r="A258" s="3" t="inlineStr">
        <is>
          <t>UP-021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Headspace pressure, 70 °C / 42 wt%</t>
        </is>
      </c>
      <c r="E258" s="4" t="inlineStr">
        <is>
          <t>P</t>
        </is>
      </c>
      <c r="F258" s="17" t="n">
        <v>12.5</v>
      </c>
      <c r="G258" s="17" t="n"/>
      <c r="H258" s="17" t="n"/>
      <c r="I258" s="4" t="inlineStr">
        <is>
          <t>kPa</t>
        </is>
      </c>
      <c r="J258" s="4" t="inlineStr">
        <is>
          <t>estimate-grade</t>
        </is>
      </c>
      <c r="K258" s="4" t="inlineStr"/>
      <c r="L258" s="4" t="inlineStr">
        <is>
          <t>aw ≈ 0.40 — nearly half the pressure ratio is the activity depression</t>
        </is>
      </c>
      <c r="M258" s="4" t="inlineStr">
        <is>
          <t>31 §4</t>
        </is>
      </c>
    </row>
    <row r="259">
      <c r="A259" s="3" t="inlineStr">
        <is>
          <t>UP-022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In-pool condensing pressure</t>
        </is>
      </c>
      <c r="E259" s="4" t="inlineStr">
        <is>
          <t>P</t>
        </is>
      </c>
      <c r="F259" s="17" t="n">
        <v>40</v>
      </c>
      <c r="G259" s="17" t="n"/>
      <c r="H259" s="17" t="n"/>
      <c r="I259" s="4" t="inlineStr">
        <is>
          <t>kPa</t>
        </is>
      </c>
      <c r="J259" s="4" t="inlineStr">
        <is>
          <t>estimate-grade</t>
        </is>
      </c>
      <c r="K259" s="4" t="inlineStr"/>
      <c r="L259" s="4" t="inlineStr">
        <is>
          <t>Sat. 76–78 °C for a useful 6–8 K ΔT → pressure ratio ~3</t>
        </is>
      </c>
      <c r="M259" s="4" t="inlineStr">
        <is>
          <t>31 §4</t>
        </is>
      </c>
    </row>
    <row r="260">
      <c r="A260" s="3" t="inlineStr">
        <is>
          <t>UP-023</t>
        </is>
      </c>
      <c r="B260" s="4" t="inlineStr">
        <is>
          <t>Upgrade</t>
        </is>
      </c>
      <c r="C260" s="4" t="inlineStr">
        <is>
          <t>Still MVR</t>
        </is>
      </c>
      <c r="D260" s="4" t="inlineStr">
        <is>
          <t>Vapour volumetric flow</t>
        </is>
      </c>
      <c r="E260" s="4" t="inlineStr">
        <is>
          <t>V̇</t>
        </is>
      </c>
      <c r="F260" s="17" t="n"/>
      <c r="G260" s="17" t="n">
        <v>11</v>
      </c>
      <c r="H260" s="17" t="n">
        <v>13</v>
      </c>
      <c r="I260" s="4" t="inlineStr">
        <is>
          <t>m³/h</t>
        </is>
      </c>
      <c r="J260" s="4" t="inlineStr">
        <is>
          <t>estimate-grade</t>
        </is>
      </c>
      <c r="K260" s="4" t="inlineStr"/>
      <c r="L260" s="4" t="inlineStr">
        <is>
          <t>At 12.5 kPa; PR ~3 excludes regenerative blowers (PR ~1.2 ceiling)</t>
        </is>
      </c>
      <c r="M260" s="4" t="inlineStr">
        <is>
          <t>31 §4</t>
        </is>
      </c>
    </row>
    <row r="261">
      <c r="A261" s="3" t="inlineStr">
        <is>
          <t>UP-024</t>
        </is>
      </c>
      <c r="B261" s="4" t="inlineStr">
        <is>
          <t>Upgrade</t>
        </is>
      </c>
      <c r="C261" s="4" t="inlineStr">
        <is>
          <t>Still MVR</t>
        </is>
      </c>
      <c r="D261" s="4" t="inlineStr">
        <is>
          <t>Compression superheat</t>
        </is>
      </c>
      <c r="E261" s="4" t="inlineStr">
        <is>
          <t>ΔT</t>
        </is>
      </c>
      <c r="F261" s="17" t="n"/>
      <c r="G261" s="17" t="n">
        <v>80</v>
      </c>
      <c r="H261" s="17" t="n">
        <v>90</v>
      </c>
      <c r="I261" s="4" t="inlineStr">
        <is>
          <t>K</t>
        </is>
      </c>
      <c r="J261" s="4" t="inlineStr">
        <is>
          <t>estimate-grade</t>
        </is>
      </c>
      <c r="K261" s="4" t="inlineStr"/>
      <c r="L261" s="4" t="inlineStr">
        <is>
          <t>Condensate-spray desuperheater ahead of the pool coil</t>
        </is>
      </c>
      <c r="M261" s="4" t="inlineStr">
        <is>
          <t>31 §4</t>
        </is>
      </c>
    </row>
    <row r="262">
      <c r="A262" s="3" t="inlineStr">
        <is>
          <t>UP-025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Chilled-water cooling duty</t>
        </is>
      </c>
      <c r="E262" s="4" t="inlineStr">
        <is>
          <t>Q_c</t>
        </is>
      </c>
      <c r="F262" s="17" t="n"/>
      <c r="G262" s="17" t="n">
        <v>0.9</v>
      </c>
      <c r="H262" s="17" t="n">
        <v>1</v>
      </c>
      <c r="I262" s="4" t="inlineStr">
        <is>
          <t>kW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Holding brine at ~20 °C</t>
        </is>
      </c>
      <c r="M262" s="4" t="inlineStr">
        <is>
          <t>31 §5</t>
        </is>
      </c>
    </row>
    <row r="263">
      <c r="A263" s="3" t="inlineStr">
        <is>
          <t>UP-026</t>
        </is>
      </c>
      <c r="B263" s="4" t="inlineStr">
        <is>
          <t>Upgrade</t>
        </is>
      </c>
      <c r="C263" s="4" t="inlineStr">
        <is>
          <t>AlFu chiller</t>
        </is>
      </c>
      <c r="D263" s="4" t="inlineStr">
        <is>
          <t>Thermal COP</t>
        </is>
      </c>
      <c r="E263" s="4" t="inlineStr">
        <is>
          <t>COP_th</t>
        </is>
      </c>
      <c r="F263" s="17" t="n"/>
      <c r="G263" s="17" t="n">
        <v>0.4</v>
      </c>
      <c r="H263" s="17" t="n">
        <v>0.5</v>
      </c>
      <c r="I263" s="4" t="inlineStr">
        <is>
          <t>—</t>
        </is>
      </c>
      <c r="J263" s="4" t="inlineStr">
        <is>
          <t>estimate-grade</t>
        </is>
      </c>
      <c r="K263" s="4" t="inlineStr">
        <is>
          <t>M-series</t>
        </is>
      </c>
      <c r="L263" s="4" t="inlineStr">
        <is>
          <t>→ 2–2.5 kW of 60–90 °C heat; +2–3 m² collector if solar-fed</t>
        </is>
      </c>
      <c r="M263" s="4" t="inlineStr">
        <is>
          <t>31 §5</t>
        </is>
      </c>
    </row>
    <row r="264">
      <c r="A264" s="3" t="inlineStr">
        <is>
          <t>UP-027</t>
        </is>
      </c>
      <c r="B264" s="4" t="inlineStr">
        <is>
          <t>Upgrade</t>
        </is>
      </c>
      <c r="C264" s="4" t="inlineStr">
        <is>
          <t>AlFu chiller</t>
        </is>
      </c>
      <c r="D264" s="4" t="inlineStr">
        <is>
          <t>Evaporator absolute pressure</t>
        </is>
      </c>
      <c r="E264" s="4" t="inlineStr">
        <is>
          <t>P</t>
        </is>
      </c>
      <c r="F264" s="17" t="n"/>
      <c r="G264" s="17" t="n">
        <v>1.7</v>
      </c>
      <c r="H264" s="17" t="n">
        <v>2</v>
      </c>
      <c r="I264" s="4" t="inlineStr">
        <is>
          <t>kPa</t>
        </is>
      </c>
      <c r="J264" s="4" t="inlineStr">
        <is>
          <t>estimate-grade</t>
        </is>
      </c>
      <c r="K264" s="4" t="inlineStr">
        <is>
          <t>M-series</t>
        </is>
      </c>
      <c r="L264" s="4" t="inlineStr">
        <is>
          <t>Leak-tightness is the make-or-break property</t>
        </is>
      </c>
      <c r="M264" s="4" t="inlineStr">
        <is>
          <t>31 §5</t>
        </is>
      </c>
    </row>
    <row r="265">
      <c r="A265" s="3" t="inlineStr">
        <is>
          <t>UP-028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Dihydrate CaCl₂ content</t>
        </is>
      </c>
      <c r="E265" s="4" t="inlineStr">
        <is>
          <t>w</t>
        </is>
      </c>
      <c r="F265" s="17" t="n">
        <v>75.5</v>
      </c>
      <c r="G265" s="17" t="n"/>
      <c r="H265" s="17" t="n"/>
      <c r="I265" s="4" t="inlineStr">
        <is>
          <t>wt%</t>
        </is>
      </c>
      <c r="J265" s="4" t="inlineStr">
        <is>
          <t>reference</t>
        </is>
      </c>
      <c r="K265" s="4" t="inlineStr">
        <is>
          <t>A3</t>
        </is>
      </c>
      <c r="L265" s="4" t="inlineStr">
        <is>
          <t>CaCl₂·2H₂O</t>
        </is>
      </c>
      <c r="M265" s="4" t="inlineStr">
        <is>
          <t>31 §6</t>
        </is>
      </c>
    </row>
    <row r="266">
      <c r="A266" s="3" t="inlineStr">
        <is>
          <t>UP-029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Water uptake per kg dihydrate</t>
        </is>
      </c>
      <c r="E266" s="4" t="inlineStr">
        <is>
          <t>Δm</t>
        </is>
      </c>
      <c r="F266" s="17" t="n"/>
      <c r="G266" s="17" t="n">
        <v>1.1</v>
      </c>
      <c r="H266" s="17" t="n">
        <v>1.2</v>
      </c>
      <c r="I266" s="4" t="inlineStr">
        <is>
          <t>kg/kg</t>
        </is>
      </c>
      <c r="J266" s="4" t="inlineStr">
        <is>
          <t>estimate-grade</t>
        </is>
      </c>
      <c r="K266" s="4" t="inlineStr">
        <is>
          <t>A3</t>
        </is>
      </c>
      <c r="L266" s="4" t="inlineStr">
        <is>
          <t>vs 0.143 kg/kg for the 40→35 wt% liquid swing</t>
        </is>
      </c>
      <c r="M266" s="4" t="inlineStr">
        <is>
          <t>31 §6</t>
        </is>
      </c>
    </row>
    <row r="267">
      <c r="A267" s="3" t="inlineStr">
        <is>
          <t>UP-030</t>
        </is>
      </c>
      <c r="B267" s="4" t="inlineStr">
        <is>
          <t>Upgrade</t>
        </is>
      </c>
      <c r="C267" s="4" t="inlineStr">
        <is>
          <t>Crystallizer</t>
        </is>
      </c>
      <c r="D267" s="4" t="inlineStr">
        <is>
          <t>Reserve mass reduction</t>
        </is>
      </c>
      <c r="E267" s="4" t="inlineStr">
        <is>
          <t>—</t>
        </is>
      </c>
      <c r="F267" s="17" t="n"/>
      <c r="G267" s="17" t="n">
        <v>3</v>
      </c>
      <c r="H267" s="17" t="n">
        <v>5</v>
      </c>
      <c r="I267" s="4" t="inlineStr">
        <is>
          <t>×</t>
        </is>
      </c>
      <c r="J267" s="4" t="inlineStr">
        <is>
          <t>estimate-grade</t>
        </is>
      </c>
      <c r="K267" s="4" t="inlineStr">
        <is>
          <t>A3</t>
        </is>
      </c>
      <c r="L267" s="4" t="inlineStr">
        <is>
          <t>Occupied-night charge 35–40 kg → 10–15 kg</t>
        </is>
      </c>
      <c r="M267" s="4" t="inlineStr">
        <is>
          <t>31 §6</t>
        </is>
      </c>
    </row>
    <row r="268">
      <c r="A268" s="3" t="inlineStr">
        <is>
          <t>UP-031</t>
        </is>
      </c>
      <c r="B268" s="4" t="inlineStr">
        <is>
          <t>Upgrade</t>
        </is>
      </c>
      <c r="C268" s="4" t="inlineStr">
        <is>
          <t>Crystallizer</t>
        </is>
      </c>
      <c r="D268" s="4" t="inlineStr">
        <is>
          <t>Supercooling without seeding</t>
        </is>
      </c>
      <c r="E268" s="4" t="inlineStr">
        <is>
          <t>ΔT</t>
        </is>
      </c>
      <c r="F268" s="17" t="n"/>
      <c r="G268" s="17" t="n">
        <v>10</v>
      </c>
      <c r="H268" s="17" t="n">
        <v>20</v>
      </c>
      <c r="I268" s="4" t="inlineStr">
        <is>
          <t>K</t>
        </is>
      </c>
      <c r="J268" s="4" t="inlineStr">
        <is>
          <t>reference</t>
        </is>
      </c>
      <c r="K268" s="4" t="inlineStr">
        <is>
          <t>A3</t>
        </is>
      </c>
      <c r="L268" s="4" t="inlineStr">
        <is>
          <t>Crystals never travel — the pot is isolated by a valve pair</t>
        </is>
      </c>
      <c r="M268" s="4" t="inlineStr">
        <is>
          <t>31 §6</t>
        </is>
      </c>
    </row>
    <row r="269">
      <c r="A269" s="3" t="inlineStr">
        <is>
          <t>UP-032</t>
        </is>
      </c>
      <c r="B269" s="4" t="inlineStr">
        <is>
          <t>Upgrade</t>
        </is>
      </c>
      <c r="C269" s="4" t="inlineStr">
        <is>
          <t>PCM</t>
        </is>
      </c>
      <c r="D269" s="4" t="inlineStr">
        <is>
          <t>CaCl₂·6H₂O melting point</t>
        </is>
      </c>
      <c r="E269" s="4" t="inlineStr">
        <is>
          <t>T_m</t>
        </is>
      </c>
      <c r="F269" s="17" t="n"/>
      <c r="G269" s="17" t="n">
        <v>29</v>
      </c>
      <c r="H269" s="17" t="n">
        <v>30</v>
      </c>
      <c r="I269" s="4" t="inlineStr">
        <is>
          <t>°C</t>
        </is>
      </c>
      <c r="J269" s="4" t="inlineStr">
        <is>
          <t>reference</t>
        </is>
      </c>
      <c r="K269" s="4" t="inlineStr"/>
      <c r="L269" s="4" t="inlineStr">
        <is>
          <t>Sits essentially at the sink temperature at DP-A — logged, low priority</t>
        </is>
      </c>
      <c r="M269" s="4" t="inlineStr">
        <is>
          <t>31 §6.2</t>
        </is>
      </c>
    </row>
  </sheetData>
  <autoFilter ref="A4:M269"/>
  <mergeCells count="4">
    <mergeCell ref="C3:E3"/>
    <mergeCell ref="A2:M2"/>
    <mergeCell ref="A1:M1"/>
    <mergeCell ref="F3:I3"/>
  </mergeCells>
  <conditionalFormatting sqref="J5:J269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high (continuous)</t>
        </is>
      </c>
      <c r="C6" s="4" t="inlineStr">
        <is>
          <t>Electricity generation</t>
        </is>
      </c>
      <c r="D6" s="4" t="inlineStr">
        <is>
          <t>High-grade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Process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Process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Process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Process-heat 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process-heat 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Live sum of the tests flagged in-baseline above. The former '~$485–755' aggregate headline was retired in doc 12 v1.4 — it did not decompose from the table and a currency-and-date-specific total dates badly in a prior-art record. Read every cost here as 2026 order-of-magnitude, one currency, one region.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2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F6</t>
        </is>
      </c>
      <c r="B10" s="4" t="inlineStr">
        <is>
          <t>Solid</t>
        </is>
      </c>
      <c r="C10" s="4" t="inlineStr">
        <is>
          <t>The DCHX sensible-cycling bucket is unverified</t>
        </is>
      </c>
      <c r="D10" s="4" t="inlineStr">
        <is>
          <t>Swung heat capacity per unit water swung is unspecified; if the allowance is optimistic, specific energy and continuous regeneration both move upward and bed-to-bed recovery becomes a hard requirement</t>
        </is>
      </c>
      <c r="E10" s="42" t="inlineStr">
        <is>
          <t>PENDING M3 (M1 gates the coated-area denominator)</t>
        </is>
      </c>
      <c r="F10" s="4" t="inlineStr">
        <is>
          <t>doc 40 F6; doc 20 §3–4; doc 22 §1</t>
        </is>
      </c>
    </row>
    <row r="11">
      <c r="A11" s="3" t="inlineStr">
        <is>
          <t>X1</t>
        </is>
      </c>
      <c r="B11" s="4" t="inlineStr">
        <is>
          <t>Shared</t>
        </is>
      </c>
      <c r="C11" s="4" t="inlineStr">
        <is>
          <t>Once-through ventilation and whole-cabin M-cycle never compose</t>
        </is>
      </c>
      <c r="D11" s="4" t="inlineStr">
        <is>
          <t>5.5–11 kg/h absorber duty at DP-A; in recirc topology whole-cabin liquid AC converges to solid-track duty (~10.6 kg/h, ~11 kW) — deferred</t>
        </is>
      </c>
      <c r="E11" s="43" t="inlineStr">
        <is>
          <t>settled</t>
        </is>
      </c>
      <c r="F11" s="4" t="inlineStr">
        <is>
          <t>00 §4/§6; 10 §2</t>
        </is>
      </c>
    </row>
    <row r="12">
      <c r="A12" s="3" t="inlineStr">
        <is>
          <t>X2</t>
        </is>
      </c>
      <c r="B12" s="4" t="inlineStr">
        <is>
          <t>Shared</t>
        </is>
      </c>
      <c r="C12" s="4" t="inlineStr">
        <is>
          <t>Regeneration asymmetry is a theorem</t>
        </is>
      </c>
      <c r="D12" s="4" t="inlineStr">
        <is>
          <t>The sealed still (no purge) keeps positive driving force at any pool &gt;~40 °C; the solid bed hits F2's wall below ~50 °C → liquid = solar layer, solid = waste-heat layer</t>
        </is>
      </c>
      <c r="E12" s="43" t="inlineStr">
        <is>
          <t>settled</t>
        </is>
      </c>
      <c r="F12" s="4" t="inlineStr">
        <is>
          <t>00 §3; 30 §2</t>
        </is>
      </c>
    </row>
    <row r="13">
      <c r="A13" s="3" t="inlineStr">
        <is>
          <t>X3</t>
        </is>
      </c>
      <c r="B13" s="4" t="inlineStr">
        <is>
          <t>Shared</t>
        </is>
      </c>
      <c r="C13" s="4" t="inlineStr">
        <is>
          <t>Liquid desiccant for cabin air is re-scoped, not rejected</t>
        </is>
      </c>
      <c r="D13" s="4" t="inlineStr">
        <is>
          <t>'Rejected absent demonstrated aerosol control' — test B is the arbiter</t>
        </is>
      </c>
      <c r="E13" s="42" t="inlineStr">
        <is>
          <t>PENDING B</t>
        </is>
      </c>
      <c r="F13" s="4" t="inlineStr">
        <is>
          <t>21 §2; 11 §3</t>
        </is>
      </c>
    </row>
    <row r="14">
      <c r="A14" s="3" t="inlineStr">
        <is>
          <t>X4</t>
        </is>
      </c>
      <c r="B14" s="4" t="inlineStr">
        <is>
          <t>Shared</t>
        </is>
      </c>
      <c r="C14" s="4" t="inlineStr">
        <is>
          <t>Materials doctrine flows both ways</t>
        </is>
      </c>
      <c r="D14" s="4" t="inlineStr">
        <is>
          <t>Nylon ban, brazed-plate prohibition, drip discipline and the sourcing heuristic imported to the solid track</t>
        </is>
      </c>
      <c r="E14" s="43" t="inlineStr">
        <is>
          <t>settled</t>
        </is>
      </c>
      <c r="F14" s="4" t="inlineStr">
        <is>
          <t>22 §3</t>
        </is>
      </c>
    </row>
    <row r="15">
      <c r="A15" s="3" t="inlineStr">
        <is>
          <t>X5</t>
        </is>
      </c>
      <c r="B15" s="4" t="inlineStr">
        <is>
          <t>Shared</t>
        </is>
      </c>
      <c r="C15" s="4" t="inlineStr">
        <is>
          <t>The airflow cascade</t>
        </is>
      </c>
      <c r="D15" s="4" t="inlineStr">
        <is>
          <t>Route makeup through the cabin before it becomes working air. Berth scale: full 48 m³/h kept (1,920 vs 2,670 ppm), more cooling (102 vs 86 W), 1.6 °C supply cost</t>
        </is>
      </c>
      <c r="E15" s="42" t="inlineStr">
        <is>
          <t>PENDING H</t>
        </is>
      </c>
      <c r="F15" s="4" t="inlineStr">
        <is>
          <t>10 §2; 20 §2</t>
        </is>
      </c>
    </row>
    <row r="16">
      <c r="A16" s="3" t="inlineStr">
        <is>
          <t>X6</t>
        </is>
      </c>
      <c r="B16" s="4" t="inlineStr">
        <is>
          <t>Liquid</t>
        </is>
      </c>
      <c r="C16" s="4" t="inlineStr">
        <is>
          <t>Mixed-mode recirculation is the occupied baseline</t>
        </is>
      </c>
      <c r="D16" s="4" t="inlineStr">
        <is>
          <t>Once-through fails 4-adult comfort at DP-A (59–66% RH); mixed-mode restores 55% at 0.88 kg/h. Recirc-only prohibited while occupied</t>
        </is>
      </c>
      <c r="E16" s="42" t="inlineStr">
        <is>
          <t>PENDING I</t>
        </is>
      </c>
      <c r="F16" s="4" t="inlineStr">
        <is>
          <t>10 §2; 00 §5</t>
        </is>
      </c>
    </row>
    <row r="17">
      <c r="A17" s="3" t="inlineStr">
        <is>
          <t>X7</t>
        </is>
      </c>
      <c r="B17" s="4" t="inlineStr">
        <is>
          <t>Shared</t>
        </is>
      </c>
      <c r="C17" s="4" t="inlineStr">
        <is>
          <t>ERV latent recovery on the fresh stream</t>
        </is>
      </c>
      <c r="D17" s="4" t="inlineStr">
        <is>
          <t>(1−ε)×10.4 g/kg per kg; ε ≥0.8 saves ~9–10 kWh/day and makes generous ventilation cheap. Needs one ducted exhaust path; crossover &lt;5%</t>
        </is>
      </c>
      <c r="E17" s="42" t="inlineStr">
        <is>
          <t>PENDING E</t>
        </is>
      </c>
      <c r="F17" s="4" t="inlineStr">
        <is>
          <t>11 §5; 20 §2</t>
        </is>
      </c>
    </row>
    <row r="18">
      <c r="A18" s="3" t="inlineStr">
        <is>
          <t>X8</t>
        </is>
      </c>
      <c r="B18" s="4" t="inlineStr">
        <is>
          <t>Shared</t>
        </is>
      </c>
      <c r="C18" s="4" t="inlineStr">
        <is>
          <t>Exhaust-vapour recovery doctrine</t>
        </is>
      </c>
      <c r="D18" s="4" t="inlineStr">
        <is>
          <t>Saturated process exhausts end in distillation recovery; no stream is both rejection sink and recovery source; closed working loop = water-neutral M-cycle</t>
        </is>
      </c>
      <c r="E18" s="42" t="inlineStr">
        <is>
          <t>design intent; PENDING H/G</t>
        </is>
      </c>
      <c r="F18" s="4" t="inlineStr">
        <is>
          <t>00 §7; 20 §8; 11 §4</t>
        </is>
      </c>
    </row>
    <row r="19">
      <c r="A19" s="3" t="inlineStr">
        <is>
          <t>X9</t>
        </is>
      </c>
      <c r="B19" s="4" t="inlineStr">
        <is>
          <t>Shared</t>
        </is>
      </c>
      <c r="C19" s="4" t="inlineStr">
        <is>
          <t>All-electric galley — no combustion in the envelope</t>
        </is>
      </c>
      <c r="D19" s="4" t="inlineStr">
        <is>
          <t>One 2 kW burner = 3.6× the crew's CO₂ + ~0.25 kg/h latent; induction costs ~2 kWh_e/day</t>
        </is>
      </c>
      <c r="E19" s="43" t="inlineStr">
        <is>
          <t>settled (safety register 2)</t>
        </is>
      </c>
      <c r="F19" s="4" t="inlineStr">
        <is>
          <t>00 §5; 30 §4</t>
        </is>
      </c>
    </row>
    <row r="20">
      <c r="A20" s="3" t="inlineStr">
        <is>
          <t>X10</t>
        </is>
      </c>
      <c r="B20" s="4" t="inlineStr">
        <is>
          <t>Shared</t>
        </is>
      </c>
      <c r="C20" s="4" t="inlineStr">
        <is>
          <t>The CO₂ battery</t>
        </is>
      </c>
      <c r="D20" s="4" t="inlineStr">
        <is>
          <t>Two-bed solid-amine TSA, 85–95 °C regen, ~1.6 kg/day for ~1.6–2.5 kWh/day — the only path holding &lt;1,000 ppm sealed</t>
        </is>
      </c>
      <c r="E20" s="44" t="inlineStr">
        <is>
          <t>REQUIRED-PENDING J</t>
        </is>
      </c>
      <c r="F20" s="4" t="inlineStr">
        <is>
          <t>00 §5; 11 §5; 12 §4</t>
        </is>
      </c>
    </row>
    <row r="21">
      <c r="A21" s="3" t="inlineStr">
        <is>
          <t>X11</t>
        </is>
      </c>
      <c r="B21" s="4" t="inlineStr">
        <is>
          <t>Shared</t>
        </is>
      </c>
      <c r="C21" s="4" t="inlineStr">
        <is>
          <t>Sealed-mode CO₂-bed chemistry is heat-grade-dependent</t>
        </is>
      </c>
      <c r="D21" s="4" t="inlineStr">
        <is>
          <t>K₂CO₃/apolar-carbon TSA (130–150 °C) is the waste-heat-platform primary; the amine resin (85–95 °C) is the solar-grade bed; alumina/MgO supports prohibited</t>
        </is>
      </c>
      <c r="E21" s="44" t="inlineStr">
        <is>
          <t>REQUIRED-PENDING J-K</t>
        </is>
      </c>
      <c r="F21" s="4" t="inlineStr">
        <is>
          <t>00 §5; 12 §4–6; 30 §2/§6</t>
        </is>
      </c>
    </row>
    <row r="22">
      <c r="A22" s="3" t="inlineStr">
        <is>
          <t>X12</t>
        </is>
      </c>
      <c r="B22" s="4" t="inlineStr">
        <is>
          <t>Upgrade</t>
        </is>
      </c>
      <c r="C22" s="4" t="inlineStr">
        <is>
          <t>The brine's activity depression is a temperature lift</t>
        </is>
      </c>
      <c r="D22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2" s="42" t="inlineStr">
        <is>
          <t>PENDING L — upgrade path only, never load-bearing</t>
        </is>
      </c>
      <c r="F22" s="4" t="inlineStr">
        <is>
          <t>31 §2; 40 §2</t>
        </is>
      </c>
    </row>
    <row r="23">
      <c r="A23" s="3" t="inlineStr">
        <is>
          <t>X14</t>
        </is>
      </c>
      <c r="B23" s="4" t="inlineStr">
        <is>
          <t>Shared</t>
        </is>
      </c>
      <c r="C23" s="4" t="inlineStr">
        <is>
          <t>Thermal-swing sensible penalty is set by the inert-mass ratio, not by cycle time</t>
        </is>
      </c>
      <c r="D23" s="4" t="inlineStr">
        <is>
          <t>Half-cycle duration cancels; the design levers are inert-mass-to-sorbent ratio and bed-to-bed recovery effectiveness, never cycle speed</t>
        </is>
      </c>
      <c r="E23" s="43" t="inlineStr">
        <is>
          <t>settled</t>
        </is>
      </c>
      <c r="F23" s="4" t="inlineStr">
        <is>
          <t>doc 40 X14; doc 20 §3–4; doc 22 §1</t>
        </is>
      </c>
    </row>
    <row r="24">
      <c r="A24" s="3" t="inlineStr">
        <is>
          <t>P17</t>
        </is>
      </c>
      <c r="B24" s="4" t="inlineStr">
        <is>
          <t>Shared</t>
        </is>
      </c>
      <c r="C24" s="4" t="inlineStr">
        <is>
          <t>CO₂ specification (safety-critical)</t>
        </is>
      </c>
      <c r="D24" s="4" t="inlineStr">
        <is>
          <t>&lt;1,000 ppm at all times in all modes; alarm + forced boost at 2,000 ppm; per-room maximum sensing; mechanical minimum stop on the fresh damper</t>
        </is>
      </c>
      <c r="E24" s="45" t="inlineStr">
        <is>
          <t>binding requirement</t>
        </is>
      </c>
      <c r="F24" s="4" t="inlineStr">
        <is>
          <t>00 §5/§8</t>
        </is>
      </c>
    </row>
    <row r="26" ht="16" customHeight="1">
      <c r="A26" s="7" t="inlineStr">
        <is>
          <t>CORRECTION-TRAIL PRINCIPLE (doc 40 §5)</t>
        </is>
      </c>
      <c r="B26" s="5" t="n"/>
      <c r="C26" s="5" t="n"/>
      <c r="D26" s="5" t="n"/>
      <c r="E26" s="5" t="n"/>
      <c r="F26" s="6" t="n"/>
    </row>
    <row r="27">
      <c r="A27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7" s="8" t="n"/>
      <c r="C27" s="8" t="n"/>
      <c r="D27" s="8" t="n"/>
      <c r="E27" s="8" t="n"/>
      <c r="F27" s="9" t="n"/>
    </row>
    <row r="28">
      <c r="A28" s="12" t="n"/>
      <c r="B28" s="13" t="n"/>
      <c r="C28" s="13" t="n"/>
      <c r="D28" s="13" t="n"/>
      <c r="E28" s="13" t="n"/>
      <c r="F28" s="14" t="n"/>
    </row>
    <row r="30" ht="16" customHeight="1">
      <c r="A30" s="7" t="inlineStr">
        <is>
          <t>THE LIQUID-TRACK ERRATA TRAIL (doc 12 §2)</t>
        </is>
      </c>
      <c r="B30" s="5" t="n"/>
      <c r="C30" s="5" t="n"/>
      <c r="D30" s="5" t="n"/>
      <c r="E30" s="5" t="n"/>
      <c r="F30" s="6" t="n"/>
    </row>
    <row r="31">
      <c r="A31" s="3" t="inlineStr">
        <is>
          <t>Erratum 1</t>
        </is>
      </c>
      <c r="B31" s="4" t="inlineStr">
        <is>
          <t>Regeneration heat overstated 2× in first-pass tables</t>
        </is>
      </c>
      <c r="C31" s="5" t="n"/>
      <c r="D31" s="6" t="n"/>
      <c r="E31" s="2" t="inlineStr">
        <is>
          <t>Never cite a margin as a computed value</t>
        </is>
      </c>
    </row>
    <row r="32">
      <c r="A32" s="3" t="inlineStr">
        <is>
          <t>Erratum 2</t>
        </is>
      </c>
      <c r="B32" s="4" t="inlineStr">
        <is>
          <t>Absorber outlet is a band, not a point; cooling reclassified optional → REQUIRED</t>
        </is>
      </c>
      <c r="C32" s="5" t="n"/>
      <c r="D32" s="6" t="n"/>
      <c r="E32" s="2" t="inlineStr"/>
    </row>
    <row r="33">
      <c r="A33" s="3" t="inlineStr">
        <is>
          <t>Erratum 3</t>
        </is>
      </c>
      <c r="B33" s="4" t="inlineStr">
        <is>
          <t>Diffuser dynamic wet pressure was missing from the column blower budget</t>
        </is>
      </c>
      <c r="C33" s="5" t="n"/>
      <c r="D33" s="6" t="n"/>
      <c r="E33" s="2" t="inlineStr">
        <is>
          <t>Drilled rings win</t>
        </is>
      </c>
    </row>
    <row r="34">
      <c r="A34" s="3" t="inlineStr">
        <is>
          <t>Erratum 4</t>
        </is>
      </c>
      <c r="B34" s="4" t="inlineStr">
        <is>
          <t>Nylon removed from approved materials</t>
        </is>
      </c>
      <c r="C34" s="5" t="n"/>
      <c r="D34" s="6" t="n"/>
      <c r="E34" s="2" t="inlineStr">
        <is>
          <t>CaCl₂ stress-cracks loaded polyamides</t>
        </is>
      </c>
    </row>
    <row r="35">
      <c r="A35" s="3" t="inlineStr">
        <is>
          <t>Erratum 5</t>
        </is>
      </c>
      <c r="B35" s="4" t="inlineStr">
        <is>
          <t>Crystallization threshold corrected: 40 wt% liquidus ~12–13 °C, not ~5</t>
        </is>
      </c>
      <c r="C35" s="5" t="n"/>
      <c r="D35" s="6" t="n"/>
      <c r="E35" s="2" t="inlineStr">
        <is>
          <t>Interlock restated at 42/43 wt%</t>
        </is>
      </c>
    </row>
    <row r="36">
      <c r="A36" s="3" t="inlineStr">
        <is>
          <t>Erratum 6</t>
        </is>
      </c>
      <c r="B36" s="4" t="inlineStr">
        <is>
          <t>Regen exhaust condensate: 53 °C dew point rains salty condensate</t>
        </is>
      </c>
      <c r="C36" s="5" t="n"/>
      <c r="D36" s="6" t="n"/>
      <c r="E36" s="2" t="inlineStr">
        <is>
          <t>Sloped drip-leg routing mandatory</t>
        </is>
      </c>
    </row>
    <row r="37">
      <c r="A37" s="3" t="inlineStr">
        <is>
          <t>Erratum 7</t>
        </is>
      </c>
      <c r="B37" s="4" t="inlineStr">
        <is>
          <t>Sparger head constant 1.35–1.4 kPa per 10 cm at SG 1.4</t>
        </is>
      </c>
      <c r="C37" s="5" t="n"/>
      <c r="D37" s="6" t="n"/>
      <c r="E37" s="2" t="inlineStr"/>
    </row>
    <row r="38">
      <c r="A38" s="3" t="inlineStr">
        <is>
          <t>Erratum 8</t>
        </is>
      </c>
      <c r="B38" s="4" t="inlineStr">
        <is>
          <t>Once-through could not deliver 4-adult comfort at DP-A (59–66% RH)</t>
        </is>
      </c>
      <c r="C38" s="5" t="n"/>
      <c r="D38" s="6" t="n"/>
      <c r="E38" s="2" t="inlineStr">
        <is>
          <t>Re-run every comfort claim when the design point moves</t>
        </is>
      </c>
    </row>
    <row r="39">
      <c r="A39" s="3" t="inlineStr">
        <is>
          <t>Erratum 9</t>
        </is>
      </c>
      <c r="B39" s="4" t="inlineStr">
        <is>
          <t>The self-consistent steady state, not the hand chain, sizes the system</t>
        </is>
      </c>
      <c r="C39" s="5" t="n"/>
      <c r="D39" s="6" t="n"/>
      <c r="E39" s="2" t="inlineStr">
        <is>
          <t>Hand chains drifted 15–30% on duty</t>
        </is>
      </c>
    </row>
  </sheetData>
  <autoFilter ref="A4:F24"/>
  <mergeCells count="23">
    <mergeCell ref="E33:F33"/>
    <mergeCell ref="A26:F26"/>
    <mergeCell ref="E39:F39"/>
    <mergeCell ref="B38:D38"/>
    <mergeCell ref="B34:D34"/>
    <mergeCell ref="A2:F2"/>
    <mergeCell ref="E35:F35"/>
    <mergeCell ref="B37:D37"/>
    <mergeCell ref="E38:F38"/>
    <mergeCell ref="E31:F31"/>
    <mergeCell ref="B33:D33"/>
    <mergeCell ref="E34:F34"/>
    <mergeCell ref="B36:D36"/>
    <mergeCell ref="B32:D32"/>
    <mergeCell ref="B35:D35"/>
    <mergeCell ref="A27:F28"/>
    <mergeCell ref="E36:F36"/>
    <mergeCell ref="A30:F30"/>
    <mergeCell ref="B31:D31"/>
    <mergeCell ref="E32:F32"/>
    <mergeCell ref="A1:F1"/>
    <mergeCell ref="E37:F37"/>
    <mergeCell ref="B39:D39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6" t="n">
        <v>1</v>
      </c>
      <c r="B5" s="47" t="inlineStr">
        <is>
          <t>CO₂ interlock</t>
        </is>
      </c>
      <c r="C5" s="48" t="inlineStr">
        <is>
          <t>&lt;1,000 ppm target · 2,000 ppm alarm/boost · per-room maximum sensing · mechanical minimum stop on the fresh damper</t>
        </is>
      </c>
      <c r="D5" s="48" t="inlineStr">
        <is>
          <t>00 §5; P17</t>
        </is>
      </c>
    </row>
    <row r="6">
      <c r="A6" s="46" t="n">
        <v>2</v>
      </c>
      <c r="B6" s="47" t="inlineStr">
        <is>
          <t>No combustion in the envelope</t>
        </is>
      </c>
      <c r="C6" s="48" t="inlineStr">
        <is>
          <t>No gas or combustion appliances in the conditioned envelope (X9)</t>
        </is>
      </c>
      <c r="D6" s="48" t="inlineStr">
        <is>
          <t>00 §5; 30 §4</t>
        </is>
      </c>
    </row>
    <row r="7">
      <c r="A7" s="46" t="n">
        <v>3</v>
      </c>
      <c r="B7" s="47" t="inlineStr">
        <is>
          <t>Aerosol control before cabin connection</t>
        </is>
      </c>
      <c r="C7" s="48" t="inlineStr">
        <is>
          <t>Drift eliminator + demister chain and a clean steel-coupon acceptance (test B) before any liquid contactor touches breathing air</t>
        </is>
      </c>
      <c r="D7" s="48" t="inlineStr">
        <is>
          <t>11 §3</t>
        </is>
      </c>
    </row>
    <row r="8">
      <c r="A8" s="46" t="n">
        <v>4</v>
      </c>
      <c r="B8" s="47" t="inlineStr">
        <is>
          <t>CO₂-sorbent breathing-air assay</t>
        </is>
      </c>
      <c r="C8" s="48" t="inlineStr">
        <is>
          <t>Amine/ammonia slip (test J) for amine beds; alkaline particulate/mist carryover (test J-K) for carbonate beds</t>
        </is>
      </c>
      <c r="D8" s="48" t="inlineStr">
        <is>
          <t>00 §5; 12 §4</t>
        </is>
      </c>
    </row>
    <row r="9">
      <c r="A9" s="46" t="n">
        <v>5</v>
      </c>
      <c r="B9" s="47" t="inlineStr">
        <is>
          <t>Distillate potability</t>
        </is>
      </c>
      <c r="C9" s="48" t="inlineStr">
        <is>
          <t>Independent water-quality test before regular consumption; air-swept-condenser water never enters potable or M-cycle service before a TDS assay clears it</t>
        </is>
      </c>
      <c r="D9" s="48" t="inlineStr">
        <is>
          <t>11 §4; 12 §4</t>
        </is>
      </c>
    </row>
    <row r="10">
      <c r="A10" s="46" t="n">
        <v>6</v>
      </c>
      <c r="B10" s="47" t="inlineStr">
        <is>
          <t>Crystallization interlock</t>
        </is>
      </c>
      <c r="C10" s="48" t="inlineStr">
        <is>
          <t>42 wt% high-SG cutoff unless brine ≥22 °C guaranteed; 43 wt% storage cap; drain-back-to-still on stop where an AHT absorber is fitted</t>
        </is>
      </c>
      <c r="D10" s="48" t="inlineStr">
        <is>
          <t>11 §4; 31 §2.6</t>
        </is>
      </c>
    </row>
    <row r="11">
      <c r="A11" s="46" t="n">
        <v>7</v>
      </c>
      <c r="B11" s="47" t="inlineStr">
        <is>
          <t>Two-worlds materials rule</t>
        </is>
      </c>
      <c r="C11" s="48" t="inlineStr">
        <is>
          <t>Applied to every brine- or raw-water-wetted component; never relaxed for land installs — the desiccant itself is the chloride source</t>
        </is>
      </c>
      <c r="D11" s="48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9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50" t="inlineStr">
        <is>
          <t>Never</t>
        </is>
      </c>
      <c r="B16" s="51" t="inlineStr">
        <is>
          <t>Copper, brass, bronze; aluminium (incl. anodized); zinc/galvanized; mild steel; 304 SS; nylon/polyamide</t>
        </is>
      </c>
      <c r="C16" s="51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50" t="inlineStr">
        <is>
          <t>Prohibited assembly</t>
        </is>
      </c>
      <c r="B19" s="51" t="inlineStr">
        <is>
          <t>Any brazed-plate exchanger (304 + copper braze) on brine or raw water</t>
        </is>
      </c>
      <c r="C19" s="51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RESOLVED v1.4 — the aggregate headline is retired; per-test estimates retained and scoped as 2026 order-of-magnitude figures (doc 12 §4)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0">
      <c r="A20" s="3" t="inlineStr">
        <is>
          <t>CHK-016</t>
        </is>
      </c>
      <c r="B20" s="4" t="inlineStr">
        <is>
          <t>Sizing basis</t>
        </is>
      </c>
      <c r="C20" s="4" t="inlineStr">
        <is>
          <t>00 §5</t>
        </is>
      </c>
      <c r="D20" s="4" t="inlineStr">
        <is>
          <t>CO₂-battery duty of ~1.6 kg/day is a daily average, not the peak</t>
        </is>
      </c>
      <c r="E20" s="4" t="inlineStr">
        <is>
          <t>Steady-state balance at the 48 m³/h floor: crew 3.42 kg/day all-awake, ventilation removes 1.37 kg/day at 1,000 ppm, so the bed must take 2.05 kg/day — 28% above the published 1.6. The 1.6 figure reproduces only on a 16 h awake / 8 h asleep average. The doc's own 91 m³/h at 50% single-pass capture independently implies 2.16 kg/day, agreeing with the peak rather than with 1.6</t>
        </is>
      </c>
      <c r="F20" s="37" t="inlineStr">
        <is>
          <t>HIGH — safety-critical spec</t>
        </is>
      </c>
      <c r="G20" s="4" t="inlineStr">
        <is>
          <t>OPEN — P17 requires &lt;1,000 ppm AT ALL TIMES, so bed mass and regeneration heat should be sized on the all-awake peak: restate as ~2.05 kg/day peak (1.6 average), scale the bed ~28%, and have test J measure working capacity at the peak rate</t>
        </is>
      </c>
    </row>
    <row r="21">
      <c r="A21" s="3" t="inlineStr">
        <is>
          <t>CHK-017</t>
        </is>
      </c>
      <c r="B21" s="4" t="inlineStr">
        <is>
          <t>Stated threshold</t>
        </is>
      </c>
      <c r="C21" s="4" t="inlineStr">
        <is>
          <t>00 §3</t>
        </is>
      </c>
      <c r="D21" s="4" t="inlineStr">
        <is>
          <t>X2's '~40 °C' still-crossover is the dilute-end figure only</t>
        </is>
      </c>
      <c r="E21" s="4" t="inlineStr">
        <is>
          <t>aw·Psat(T_pool) &gt; Psat(29 °C) gives a crossover of 39.8 °C at aw 0.55 (35 wt%, where regeneration starts), 43.6 °C at aw 0.45 (40 wt%), and 49.1 °C at aw 0.34 (43–44 wt% hot-regen). The single '~40 °C' figure holds only at the start of the concentration swing</t>
        </is>
      </c>
      <c r="F21" s="37" t="inlineStr">
        <is>
          <t>Low — no design consequence</t>
        </is>
      </c>
      <c r="G21" s="4" t="inlineStr">
        <is>
          <t>OPEN — the design pool is 60–93 °C, far above all three, so X2's conclusion is untouched. State the crossover as a function of target concentration, since it sets the minimum useful pool temperature in degraded mode</t>
        </is>
      </c>
    </row>
    <row r="22">
      <c r="A22" s="3" t="inlineStr">
        <is>
          <t>CHK-018</t>
        </is>
      </c>
      <c r="B22" s="4" t="inlineStr">
        <is>
          <t>Cross-track basis</t>
        </is>
      </c>
      <c r="C22" s="4" t="inlineStr">
        <is>
          <t>12 §1 vs 20 §1</t>
        </is>
      </c>
      <c r="D22" s="4" t="inlineStr">
        <is>
          <t>The two tracks assume latent gains differing ~7× for the same platform</t>
        </is>
      </c>
      <c r="E22" s="4" t="inlineStr">
        <is>
          <t>Liquid uses 280 g/h (4 × 70 g/h occupants only); solid uses 1.8–2.8 kg/h 'envelope + occupant'. The 1.72 kg/h non-occupant remainder implies ~0.95 ACH on the solid cabin (~1.37 ACH on the liquid one), against the 0.05–0.15 ACH doc 12 §3 uses for the unattended liquid case and the 0.48 ACH mechanical ventilation floor. Neither track states an ACH</t>
        </is>
      </c>
      <c r="F22" s="42" t="inlineStr">
        <is>
          <t>Medium — traceability</t>
        </is>
      </c>
      <c r="G22" s="4" t="inlineStr">
        <is>
          <t>OPEN — bounded, not architecture-breaking: re-solving doc 00 §4 across gains of 0.64–2.8 kg/h moves duty only 8.8→10.3 kg/h, so F1 and the 9–11 kg/h band both survive. State one envelope-leakage assumption in doc 00 and let both tracks inherit it</t>
        </is>
      </c>
    </row>
    <row r="23">
      <c r="A23" s="3" t="inlineStr">
        <is>
          <t>CHK-019</t>
        </is>
      </c>
      <c r="B23" s="4" t="inlineStr">
        <is>
          <t>Internal consistency</t>
        </is>
      </c>
      <c r="C23" s="4" t="inlineStr">
        <is>
          <t>11 §2</t>
        </is>
      </c>
      <c r="D23" s="4" t="inlineStr">
        <is>
          <t>Cell rating, face-velocity band and NTU approach share no operating point</t>
        </is>
      </c>
      <c r="E23" s="4" t="inlineStr">
        <is>
          <t>A 600×300×150 mm cell has a ~0.09 m² face. At the DP-A baseline (123 m³/h over a 2-cell bank) face velocity is ~0.19 m/s — well under the stated 0.6–1.0 m/s — while the 0.4–0.8 kg/h rating reproduces exactly at that baseline. At 0.6 m/s the same cell passes ~194 m³/h and, at the NTU-1.9 / 85% approach used to size contactor depth, would remove ~2.9 kg/h, far above its own rating</t>
        </is>
      </c>
      <c r="F23" s="42" t="inlineStr">
        <is>
          <t>Medium — gated by test I</t>
        </is>
      </c>
      <c r="G23" s="4" t="inlineStr">
        <is>
          <t>OPEN — reconcilable only at an approach efficiency that falls with face velocity, which is never stated. Test I already measures exactly this (outlet RH vs irrigation and face velocity, staged NTU/m). Publish the rating with its approach and flow, not as a bare kg/h</t>
        </is>
      </c>
    </row>
    <row r="25">
      <c r="A25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6"/>
    <row r="27"/>
  </sheetData>
  <autoFilter ref="A4:G23"/>
  <mergeCells count="3">
    <mergeCell ref="A2:G2"/>
    <mergeCell ref="A1:G1"/>
    <mergeCell ref="A25:G27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v1.5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v1.2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v1.4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v1.2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v1.2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v1.3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v1.7</t>
        </is>
      </c>
      <c r="C14" s="4" t="inlineStr">
        <is>
          <t>F1–F6, X1–X12, X14, spec P17, tasks, make-or-break bench list</t>
        </is>
      </c>
    </row>
    <row r="15">
      <c r="A15" s="3" t="inlineStr">
        <is>
          <t>41_bench_bill_of_materials.md</t>
        </is>
      </c>
      <c r="B15" s="4" t="inlineStr">
        <is>
          <t>v1.0</t>
        </is>
      </c>
      <c r="C15" s="4" t="inlineStr">
        <is>
          <t>Bench procurement list: class-and-spec, cheapest-decisive-first; no system BOM (F6/F3 open)</t>
        </is>
      </c>
    </row>
    <row r="16">
      <c r="A16" s="3" t="inlineStr">
        <is>
          <t>50_defensive_disclosure_plan.md</t>
        </is>
      </c>
      <c r="B16" s="4" t="inlineStr">
        <is>
          <t>v1.6</t>
        </is>
      </c>
      <c r="C16" s="4" t="inlineStr">
        <is>
          <t>Venue stack, repo formation, Zenodo procedure, metadata, version discipline</t>
        </is>
      </c>
    </row>
    <row r="17">
      <c r="A17" s="3" t="inlineStr">
        <is>
          <t>executive_summary.md</t>
        </is>
      </c>
      <c r="B17" s="4" t="inlineStr">
        <is>
          <t>v1.4</t>
        </is>
      </c>
      <c r="C17" s="4" t="inlineStr">
        <is>
          <t>Standalone abstract for examiner-channel deposit; carries the concept DOI and repo URL</t>
        </is>
      </c>
    </row>
    <row r="19" ht="16" customHeight="1">
      <c r="A19" s="7" t="inlineStr">
        <is>
          <t>SCOPE &amp; PROVENANCE</t>
        </is>
      </c>
      <c r="B19" s="5" t="n"/>
      <c r="C19" s="5" t="n"/>
      <c r="D19" s="6" t="n"/>
    </row>
    <row r="20">
      <c r="A20" s="3" t="inlineStr">
        <is>
          <t>Reading order</t>
        </is>
      </c>
      <c r="B20" s="4" t="inlineStr">
        <is>
          <t>00 (shared basis) → 10–12 (liquid) → 20–22 (solid) → 30–31 (integration, upgrades) → 40 (findings) → 50 (disclosure)</t>
        </is>
      </c>
      <c r="C20" s="5" t="n"/>
      <c r="D20" s="6" t="n"/>
    </row>
    <row r="21">
      <c r="A21" s="3" t="inlineStr">
        <is>
          <t>Single source rule</t>
        </is>
      </c>
      <c r="B21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1" s="5" t="n"/>
      <c r="D21" s="6" t="n"/>
    </row>
    <row r="22">
      <c r="A22" s="3" t="inlineStr">
        <is>
          <t>What this workbook is</t>
        </is>
      </c>
      <c r="B22" s="4" t="inlineStr">
        <is>
          <t>A derived working artifact. The documents remain authoritative; where this workbook and a document disagree, the document wins and the Checks sheet records the discrepancy</t>
        </is>
      </c>
      <c r="C22" s="5" t="n"/>
      <c r="D22" s="6" t="n"/>
    </row>
    <row r="23">
      <c r="A23" s="3" t="inlineStr">
        <is>
          <t>What this workbook is not</t>
        </is>
      </c>
      <c r="B23" s="4" t="inlineStr">
        <is>
          <t>Not a measurement record. No figure here is measured data unless its grade says so — and none currently does</t>
        </is>
      </c>
      <c r="C23" s="5" t="n"/>
      <c r="D23" s="6" t="n"/>
    </row>
    <row r="24">
      <c r="A24" s="3" t="inlineStr">
        <is>
          <t>Regeneration</t>
        </is>
      </c>
      <c r="B24" s="4" t="inlineStr">
        <is>
          <t>python3 scripts/build_parameter_workbook.py [output.xlsx] — regenerate rather than hand-edit, so the register stays traceable to the documents</t>
        </is>
      </c>
      <c r="C24" s="5" t="n"/>
      <c r="D24" s="6" t="n"/>
    </row>
    <row r="25">
      <c r="A25" s="3" t="inlineStr">
        <is>
          <t>Licensing</t>
        </is>
      </c>
      <c r="B25" s="4" t="inlineStr">
        <is>
          <t>Workbook content CC-BY-4.0 with the documentation; generator script MIT with scripts/</t>
        </is>
      </c>
      <c r="C25" s="5" t="n"/>
      <c r="D25" s="6" t="n"/>
    </row>
    <row r="26">
      <c r="A26" s="3" t="inlineStr">
        <is>
          <t>Disclosure</t>
        </is>
      </c>
      <c r="B26" s="4" t="inlineStr">
        <is>
          <t>Open defensive publication · concept DOI 10.5281/zenodo.21544099 · version DOI 10.5281/zenodo.21544100 · no patents sought or held</t>
        </is>
      </c>
      <c r="C26" s="5" t="n"/>
      <c r="D26" s="6" t="n"/>
    </row>
  </sheetData>
  <mergeCells count="10">
    <mergeCell ref="A1:D1"/>
    <mergeCell ref="B23:D23"/>
    <mergeCell ref="B22:D22"/>
    <mergeCell ref="B26:D26"/>
    <mergeCell ref="B21:D21"/>
    <mergeCell ref="A19:D19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2026-08-29T01:57:47Z</dcterms:created>
  <dcterms:modified xmlns:dcterms="http://purl.org/dc/terms/" xmlns:xsi="http://www.w3.org/2001/XMLSchema-instance" xsi:type="dcterms:W3CDTF">2026-08-29T01:57:47Z</dcterms:modified>
  <cp:keywords>liquid desiccant; aluminium fumarate; DP-A; defensive publication; prior art</cp:keywords>
</cp:coreProperties>
</file>