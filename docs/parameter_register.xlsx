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Design Point" sheetId="3" state="visible" r:id="rId3"/>
    <sheet xmlns:r="http://schemas.openxmlformats.org/officeDocument/2006/relationships" name="Register" sheetId="4" state="visible" r:id="rId4"/>
    <sheet xmlns:r="http://schemas.openxmlformats.org/officeDocument/2006/relationships" name="Psychrometrics" sheetId="5" state="visible" r:id="rId5"/>
    <sheet xmlns:r="http://schemas.openxmlformats.org/officeDocument/2006/relationships" name="Model 00§4" sheetId="6" state="visible" r:id="rId6"/>
    <sheet xmlns:r="http://schemas.openxmlformats.org/officeDocument/2006/relationships" name="Liquid Sizing" sheetId="7" state="visible" r:id="rId7"/>
    <sheet xmlns:r="http://schemas.openxmlformats.org/officeDocument/2006/relationships" name="Solid Sizing" sheetId="8" state="visible" r:id="rId8"/>
    <sheet xmlns:r="http://schemas.openxmlformats.org/officeDocument/2006/relationships" name="CO2 &amp; Ventilation" sheetId="9" state="visible" r:id="rId9"/>
    <sheet xmlns:r="http://schemas.openxmlformats.org/officeDocument/2006/relationships" name="Heat &amp; Water" sheetId="10" state="visible" r:id="rId10"/>
    <sheet xmlns:r="http://schemas.openxmlformats.org/officeDocument/2006/relationships" name="Upgrade Paths" sheetId="11" state="visible" r:id="rId11"/>
    <sheet xmlns:r="http://schemas.openxmlformats.org/officeDocument/2006/relationships" name="Test Program" sheetId="12" state="visible" r:id="rId12"/>
    <sheet xmlns:r="http://schemas.openxmlformats.org/officeDocument/2006/relationships" name="Findings" sheetId="13" state="visible" r:id="rId13"/>
    <sheet xmlns:r="http://schemas.openxmlformats.org/officeDocument/2006/relationships" name="Safety &amp; Materials" sheetId="14" state="visible" r:id="rId14"/>
    <sheet xmlns:r="http://schemas.openxmlformats.org/officeDocument/2006/relationships" name="Checks" sheetId="15" state="visible" r:id="rId15"/>
    <sheet xmlns:r="http://schemas.openxmlformats.org/officeDocument/2006/relationships" name="Sources" sheetId="16" state="visible" r:id="rId16"/>
  </sheets>
  <definedNames>
    <definedName name="T_amb">'Design Point'!$B$5</definedName>
    <definedName name="RH_amb">'Design Point'!$B$6</definedName>
    <definedName name="T_sink">'Design Point'!$B$7</definedName>
    <definedName name="P_atm">'Design Point'!$B$8</definedName>
    <definedName name="P_MOIST">'Design Point'!$B$9</definedName>
    <definedName name="V_CAB">'Design Point'!$B$12</definedName>
    <definedName name="N_OCC">'Design Point'!$B$13</definedName>
    <definedName name="G_PERS">'Design Point'!$B$14</definedName>
    <definedName name="Q_SENS">'Design Point'!$B$15</definedName>
    <definedName name="V_FRESH">'Design Point'!$B$16</definedName>
    <definedName name="CO2_GEN">'Design Point'!$B$17</definedName>
    <definedName name="CO2_OUT">'Design Point'!$B$18</definedName>
    <definedName name="CO2_SPEC">'Design Point'!$B$19</definedName>
    <definedName name="T_CAB_L">'Design Point'!$B$22</definedName>
    <definedName name="RH_CAB_L">'Design Point'!$B$23</definedName>
    <definedName name="T_CAB_S">'Design Point'!$B$24</definedName>
    <definedName name="AW_40">'Design Point'!$B$27</definedName>
    <definedName name="AW_44">'Design Point'!$B$28</definedName>
    <definedName name="T_BRINE">'Design Point'!$B$29</definedName>
    <definedName name="C_HI">'Design Point'!$B$30</definedName>
    <definedName name="C_LO">'Design Point'!$B$31</definedName>
    <definedName name="W_SUP_S">'Design Point'!$B$32</definedName>
    <definedName name="EPS_LAT">'Design Point'!$B$35</definedName>
    <definedName name="EPS_DP">'Design Point'!$B$36</definedName>
    <definedName name="COP_REGEN">'Design Point'!$B$37</definedName>
    <definedName name="E_SPEC_S">'Design Point'!$B$38</definedName>
    <definedName name="MAG_A">'Design Point'!$B$41</definedName>
    <definedName name="MAG_B">'Design Point'!$B$42</definedName>
    <definedName name="MAG_C">'Design Point'!$B$43</definedName>
    <definedName name="RATIO_MW">'Design Point'!$B$44</definedName>
    <definedName name="CP_A">'Design Point'!$B$45</definedName>
    <definedName name="CP_V">'Design Point'!$B$46</definedName>
    <definedName name="H_FG0">'Design Point'!$B$47</definedName>
    <definedName name="H_FG_REGEN">'Design Point'!$B$48</definedName>
    <definedName name="H_ABS">'Design Point'!$B$49</definedName>
    <definedName name="RHO_A">'Design Point'!$B$50</definedName>
    <definedName name="RHO_A_DOC">'Design Point'!$B$51</definedName>
    <definedName name="SEC_H">'Design Point'!$B$52</definedName>
    <definedName name="PSAT_AMB">'Design Point'!$B$56</definedName>
    <definedName name="PV_AMB">'Design Point'!$B$57</definedName>
    <definedName name="W_AMB">'Design Point'!$B$58</definedName>
    <definedName name="W_AMB_DOC">'Design Point'!$B$59</definedName>
    <definedName name="T_DP_AMB">'Design Point'!$B$60</definedName>
    <definedName name="W_CAB_L">'Design Point'!$B$61</definedName>
    <definedName name="W_SAT_SINK">'Design Point'!$B$62</definedName>
    <definedName name="W_ERV">'Design Point'!$B$63</definedName>
    <definedName name="M_FRESH">'Design Point'!$B$64</definedName>
    <definedName name="G_LAT">'Design Point'!$B$65</definedName>
    <definedName name="SD_W_PURGE">'Solid Sizing'!$B$38</definedName>
    <definedName name="_xlnm._FilterDatabase" localSheetId="3" hidden="1">'Register'!$A$4:$M$269</definedName>
    <definedName name="_xlnm._FilterDatabase" localSheetId="11" hidden="1">'Test Program'!$A$5:$I$31</definedName>
    <definedName name="_xlnm._FilterDatabase" localSheetId="12" hidden="1">'Findings'!$A$4:$F$24</definedName>
    <definedName name="_xlnm._FilterDatabase" localSheetId="14" hidden="1">'Checks'!$A$4:$G$23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###"/>
    <numFmt numFmtId="165" formatCode="0.000"/>
    <numFmt numFmtId="166" formatCode="0.0"/>
    <numFmt numFmtId="167" formatCode="0.0%"/>
    <numFmt numFmtId="168" formatCode="0.0&quot;×&quot;"/>
    <numFmt numFmtId="169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F3864"/>
      <sz val="16"/>
    </font>
    <font>
      <name val="Calibri"/>
      <b val="1"/>
      <color rgb="002F5496"/>
      <sz val="11"/>
    </font>
    <font>
      <name val="Calibri"/>
      <color rgb="00203040"/>
      <sz val="10"/>
    </font>
    <font>
      <name val="Calibri"/>
      <b val="1"/>
      <color rgb="000033AA"/>
      <sz val="10"/>
    </font>
    <font>
      <name val="Calibri"/>
      <i val="1"/>
      <color rgb="00808080"/>
      <sz val="10"/>
    </font>
    <font>
      <name val="Calibri"/>
      <b val="1"/>
      <color rgb="00203040"/>
      <sz val="10"/>
    </font>
    <font>
      <name val="Calibri"/>
      <i val="1"/>
      <color rgb="00808080"/>
      <sz val="9"/>
    </font>
    <font>
      <name val="Calibri"/>
      <b val="1"/>
      <color rgb="009C0006"/>
      <sz val="10"/>
    </font>
    <font>
      <name val="Calibri"/>
      <b val="1"/>
      <color rgb="00006100"/>
      <sz val="10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2F2"/>
      </patternFill>
    </fill>
  </fills>
  <borders count="1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2">
    <xf numFmtId="0" fontId="0" fillId="0" borderId="0"/>
    <xf numFmtId="0" fontId="1" fillId="2" borderId="1" applyAlignment="1">
      <alignment vertical="center" wrapText="1"/>
    </xf>
    <xf numFmtId="0" fontId="2" fillId="0" borderId="2" applyAlignment="1">
      <alignment vertical="center"/>
    </xf>
    <xf numFmtId="0" fontId="3" fillId="0" borderId="2" applyAlignment="1">
      <alignment vertical="center"/>
    </xf>
    <xf numFmtId="0" fontId="4" fillId="0" borderId="1" applyAlignment="1">
      <alignment vertical="top" wrapText="1"/>
    </xf>
    <xf numFmtId="164" fontId="4" fillId="0" borderId="1" applyAlignment="1">
      <alignment horizontal="right" vertical="top"/>
    </xf>
    <xf numFmtId="164" fontId="5" fillId="3" borderId="1" applyAlignment="1">
      <alignment horizontal="right" vertical="top"/>
    </xf>
    <xf numFmtId="164" fontId="4" fillId="0" borderId="1" applyAlignment="1">
      <alignment horizontal="right" vertical="top"/>
    </xf>
    <xf numFmtId="164" fontId="6" fillId="0" borderId="1" applyAlignment="1">
      <alignment horizontal="right" vertical="top"/>
    </xf>
    <xf numFmtId="0" fontId="7" fillId="0" borderId="1" applyAlignment="1">
      <alignment vertical="top" wrapText="1"/>
    </xf>
    <xf numFmtId="0" fontId="8" fillId="0" borderId="2" applyAlignment="1">
      <alignment vertical="top" wrapText="1"/>
    </xf>
    <xf numFmtId="0" fontId="1" fillId="4" borderId="1" applyAlignment="1">
      <alignment vertical="center"/>
    </xf>
  </cellStyleXfs>
  <cellXfs count="52">
    <xf numFmtId="0" fontId="0" fillId="0" borderId="0" pivotButton="0" quotePrefix="0" xfId="0"/>
    <xf numFmtId="0" fontId="2" fillId="0" borderId="2" applyAlignment="1" pivotButton="0" quotePrefix="0" xfId="2">
      <alignment vertical="center"/>
    </xf>
    <xf numFmtId="0" fontId="8" fillId="0" borderId="2" applyAlignment="1" pivotButton="0" quotePrefix="0" xfId="10">
      <alignment vertical="top" wrapText="1"/>
    </xf>
    <xf numFmtId="0" fontId="7" fillId="0" borderId="1" applyAlignment="1" pivotButton="0" quotePrefix="0" xfId="9">
      <alignment vertical="top" wrapText="1"/>
    </xf>
    <xf numFmtId="0" fontId="4" fillId="0" borderId="1" applyAlignment="1" pivotButton="0" quotePrefix="0" xfId="4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" fillId="4" borderId="1" applyAlignment="1" pivotButton="0" quotePrefix="0" xfId="11">
      <alignment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2" borderId="1" applyAlignment="1" pivotButton="0" quotePrefix="0" xfId="1">
      <alignment vertical="center" wrapText="1"/>
    </xf>
    <xf numFmtId="164" fontId="5" fillId="3" borderId="1" applyAlignment="1" pivotButton="0" quotePrefix="0" xfId="6">
      <alignment horizontal="right" vertical="top"/>
    </xf>
    <xf numFmtId="164" fontId="4" fillId="0" borderId="1" applyAlignment="1" pivotButton="0" quotePrefix="0" xfId="5">
      <alignment horizontal="right" vertical="top"/>
    </xf>
    <xf numFmtId="2" fontId="4" fillId="0" borderId="1" applyAlignment="1" pivotButton="0" quotePrefix="0" xfId="7">
      <alignment horizontal="right" vertical="top"/>
    </xf>
    <xf numFmtId="1" fontId="5" fillId="3" borderId="1" applyAlignment="1" pivotButton="0" quotePrefix="0" xfId="6">
      <alignment horizontal="right" vertical="top"/>
    </xf>
    <xf numFmtId="165" fontId="4" fillId="0" borderId="1" applyAlignment="1" pivotButton="0" quotePrefix="0" xfId="7">
      <alignment horizontal="right" vertical="top"/>
    </xf>
    <xf numFmtId="166" fontId="6" fillId="0" borderId="1" applyAlignment="1" pivotButton="0" quotePrefix="0" xfId="8">
      <alignment horizontal="right" vertical="top"/>
    </xf>
    <xf numFmtId="167" fontId="4" fillId="0" borderId="1" applyAlignment="1" pivotButton="0" quotePrefix="0" xfId="7">
      <alignment horizontal="right" vertical="top"/>
    </xf>
    <xf numFmtId="164" fontId="4" fillId="0" borderId="1" applyAlignment="1" pivotButton="0" quotePrefix="0" xfId="7">
      <alignment horizontal="right" vertical="top"/>
    </xf>
    <xf numFmtId="166" fontId="5" fillId="3" borderId="1" applyAlignment="1" pivotButton="0" quotePrefix="0" xfId="6">
      <alignment horizontal="right" vertical="top"/>
    </xf>
    <xf numFmtId="2" fontId="5" fillId="3" borderId="1" applyAlignment="1" pivotButton="0" quotePrefix="0" xfId="6">
      <alignment horizontal="right" vertical="top"/>
    </xf>
    <xf numFmtId="166" fontId="4" fillId="0" borderId="1" applyAlignment="1" pivotButton="0" quotePrefix="0" xfId="7">
      <alignment horizontal="right" vertical="top"/>
    </xf>
    <xf numFmtId="165" fontId="5" fillId="3" borderId="1" applyAlignment="1" pivotButton="0" quotePrefix="0" xfId="6">
      <alignment horizontal="right" vertical="top"/>
    </xf>
    <xf numFmtId="2" fontId="6" fillId="0" borderId="1" applyAlignment="1" pivotButton="0" quotePrefix="0" xfId="8">
      <alignment horizontal="right" vertical="top"/>
    </xf>
    <xf numFmtId="165" fontId="6" fillId="0" borderId="1" applyAlignment="1" pivotButton="0" quotePrefix="0" xfId="8">
      <alignment horizontal="right" vertical="top"/>
    </xf>
    <xf numFmtId="1" fontId="4" fillId="0" borderId="1" applyAlignment="1" pivotButton="0" quotePrefix="0" xfId="7">
      <alignment horizontal="right" vertical="top"/>
    </xf>
    <xf numFmtId="1" fontId="6" fillId="0" borderId="1" applyAlignment="1" pivotButton="0" quotePrefix="0" xfId="8">
      <alignment horizontal="right" vertical="top"/>
    </xf>
    <xf numFmtId="168" fontId="4" fillId="0" borderId="1" applyAlignment="1" pivotButton="0" quotePrefix="0" xfId="7">
      <alignment horizontal="right" vertical="top"/>
    </xf>
    <xf numFmtId="9" fontId="6" fillId="0" borderId="1" applyAlignment="1" pivotButton="0" quotePrefix="0" xfId="8">
      <alignment horizontal="right" vertical="top"/>
    </xf>
    <xf numFmtId="2" fontId="4" fillId="0" borderId="1" applyAlignment="1" pivotButton="0" quotePrefix="0" xfId="5">
      <alignment horizontal="right" vertical="top"/>
    </xf>
    <xf numFmtId="2" fontId="4" fillId="0" borderId="1" applyAlignment="1" pivotButton="0" quotePrefix="0" xfId="4">
      <alignment vertical="top" wrapText="1"/>
    </xf>
    <xf numFmtId="0" fontId="7" fillId="5" borderId="1" applyAlignment="1" pivotButton="0" quotePrefix="0" xfId="9">
      <alignment vertical="top" wrapText="1"/>
    </xf>
    <xf numFmtId="0" fontId="4" fillId="5" borderId="1" applyAlignment="1" pivotButton="0" quotePrefix="0" xfId="4">
      <alignment vertical="top" wrapText="1"/>
    </xf>
    <xf numFmtId="0" fontId="8" fillId="5" borderId="2" applyAlignment="1" pivotButton="0" quotePrefix="0" xfId="10">
      <alignment vertical="top" wrapText="1"/>
    </xf>
    <xf numFmtId="169" fontId="4" fillId="0" borderId="1" applyAlignment="1" pivotButton="0" quotePrefix="0" xfId="7">
      <alignment horizontal="right" vertical="top"/>
    </xf>
    <xf numFmtId="169" fontId="4" fillId="0" borderId="1" applyAlignment="1" pivotButton="0" quotePrefix="0" xfId="5">
      <alignment horizontal="right" vertical="top"/>
    </xf>
    <xf numFmtId="164" fontId="4" fillId="6" borderId="1" applyAlignment="1" pivotButton="0" quotePrefix="0" xfId="5">
      <alignment horizontal="right" vertical="top"/>
    </xf>
    <xf numFmtId="0" fontId="4" fillId="7" borderId="1" applyAlignment="1" pivotButton="0" quotePrefix="0" xfId="4">
      <alignment vertical="top" wrapText="1"/>
    </xf>
    <xf numFmtId="0" fontId="4" fillId="6" borderId="1" applyAlignment="1" pivotButton="0" quotePrefix="0" xfId="4">
      <alignment vertical="top" wrapText="1"/>
    </xf>
    <xf numFmtId="0" fontId="9" fillId="8" borderId="1" applyAlignment="1" pivotButton="0" quotePrefix="0" xfId="4">
      <alignment vertical="top" wrapText="1"/>
    </xf>
    <xf numFmtId="0" fontId="10" fillId="6" borderId="1" applyAlignment="1" pivotButton="0" quotePrefix="0" xfId="4">
      <alignment vertical="top" wrapText="1"/>
    </xf>
    <xf numFmtId="1" fontId="4" fillId="9" borderId="1" applyAlignment="1" pivotButton="0" quotePrefix="0" xfId="5">
      <alignment horizontal="right" vertical="top"/>
    </xf>
    <xf numFmtId="0" fontId="7" fillId="9" borderId="1" applyAlignment="1" pivotButton="0" quotePrefix="0" xfId="9">
      <alignment vertical="top" wrapText="1"/>
    </xf>
    <xf numFmtId="0" fontId="4" fillId="9" borderId="1" applyAlignment="1" pivotButton="0" quotePrefix="0" xfId="4">
      <alignment vertical="top" wrapText="1"/>
    </xf>
    <xf numFmtId="0" fontId="7" fillId="6" borderId="1" applyAlignment="1" pivotButton="0" quotePrefix="0" xfId="9">
      <alignment vertical="top" wrapText="1"/>
    </xf>
    <xf numFmtId="0" fontId="7" fillId="8" borderId="1" applyAlignment="1" pivotButton="0" quotePrefix="0" xfId="9">
      <alignment vertical="top" wrapText="1"/>
    </xf>
    <xf numFmtId="0" fontId="4" fillId="8" borderId="1" applyAlignment="1" pivotButton="0" quotePrefix="0" xfId="4">
      <alignment vertical="top" wrapText="1"/>
    </xf>
  </cellXfs>
  <cellStyles count="12">
    <cellStyle name="Normal" xfId="0" builtinId="0" hidden="0"/>
    <cellStyle name="s_hdr" xfId="1" hidden="0"/>
    <cellStyle name="s_title" xfId="2" hidden="0"/>
    <cellStyle name="s_sub" xfId="3" hidden="0"/>
    <cellStyle name="s_txt" xfId="4" hidden="0"/>
    <cellStyle name="s_num" xfId="5" hidden="0"/>
    <cellStyle name="s_in" xfId="6" hidden="0"/>
    <cellStyle name="s_calc" xfId="7" hidden="0"/>
    <cellStyle name="s_ref" xfId="8" hidden="0"/>
    <cellStyle name="s_lbl" xfId="9" hidden="0"/>
    <cellStyle name="s_note" xfId="10" hidden="0"/>
    <cellStyle name="s_sect" xfId="11" hidden="0"/>
  </cellStyles>
  <dxfs count="5">
    <dxf>
      <font>
        <color rgb="009C6500"/>
      </font>
      <fill>
        <patternFill patternType="solid">
          <fgColor rgb="00FFEB9C"/>
        </patternFill>
      </fill>
    </dxf>
    <dxf>
      <font>
        <i val="1"/>
        <color rgb="00808080"/>
      </font>
      <fill>
        <patternFill patternType="solid">
          <fgColor rgb="00F2F2F2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F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1" t="inlineStr">
        <is>
          <t>Heat-Driven Comfort &amp; Water — Parameter Register</t>
        </is>
      </c>
    </row>
    <row r="2">
      <c r="A2" s="2" t="inlineStr">
        <is>
          <t>Every quantitative claim in the document lineage, in one traceable workbook, with live re-derivations of the headline numbers.</t>
        </is>
      </c>
    </row>
    <row r="4">
      <c r="A4" s="3" t="inlineStr">
        <is>
          <t>Workbook revision</t>
        </is>
      </c>
      <c r="B4" s="4" t="inlineStr">
        <is>
          <t>1.1</t>
        </is>
      </c>
      <c r="C4" s="5" t="n"/>
      <c r="D4" s="5" t="n"/>
      <c r="E4" s="5" t="n"/>
      <c r="F4" s="6" t="n"/>
    </row>
    <row r="5">
      <c r="A5" s="3" t="inlineStr">
        <is>
          <t>Source document set</t>
        </is>
      </c>
      <c r="B5" s="4" t="inlineStr">
        <is>
          <t>lineage v1.2 (docs 00 v1.2 · 10 v1.1 · 11 v1.1 · 12 v1.4 · 20 v1.1 · 21 v1.0 · 22 v1.1 · 30 v1.2 · 31 v1.0 · 40 v1.4 · 50 v1.2)</t>
        </is>
      </c>
      <c r="C5" s="5" t="n"/>
      <c r="D5" s="5" t="n"/>
      <c r="E5" s="5" t="n"/>
      <c r="F5" s="6" t="n"/>
    </row>
    <row r="6">
      <c r="A6" s="3" t="inlineStr">
        <is>
          <t>Repository</t>
        </is>
      </c>
      <c r="B6" s="4" t="inlineStr">
        <is>
          <t>github.com/phicyclist/slice-cooling</t>
        </is>
      </c>
      <c r="C6" s="5" t="n"/>
      <c r="D6" s="5" t="n"/>
      <c r="E6" s="5" t="n"/>
      <c r="F6" s="6" t="n"/>
    </row>
    <row r="7">
      <c r="A7" s="3" t="inlineStr">
        <is>
          <t>Concept DOI (all versions)</t>
        </is>
      </c>
      <c r="B7" s="4" t="inlineStr">
        <is>
          <t>10.5281/zenodo.21544099</t>
        </is>
      </c>
      <c r="C7" s="5" t="n"/>
      <c r="D7" s="5" t="n"/>
      <c r="E7" s="5" t="n"/>
      <c r="F7" s="6" t="n"/>
    </row>
    <row r="8">
      <c r="A8" s="3" t="inlineStr">
        <is>
          <t>Version DOI (v1.0 record)</t>
        </is>
      </c>
      <c r="B8" s="4" t="inlineStr">
        <is>
          <t>10.5281/zenodo.21544100</t>
        </is>
      </c>
      <c r="C8" s="5" t="n"/>
      <c r="D8" s="5" t="n"/>
      <c r="E8" s="5" t="n"/>
      <c r="F8" s="6" t="n"/>
    </row>
    <row r="9">
      <c r="A9" s="3" t="inlineStr">
        <is>
          <t>Governing design point</t>
        </is>
      </c>
      <c r="B9" s="4" t="inlineStr">
        <is>
          <t>DP-A · 32 °C / 80% RH · ω 24.2 g/kg · dew point 28.1 °C · raw-water sink ~29 °C</t>
        </is>
      </c>
      <c r="C9" s="5" t="n"/>
      <c r="D9" s="5" t="n"/>
      <c r="E9" s="5" t="n"/>
      <c r="F9" s="6" t="n"/>
    </row>
    <row r="10">
      <c r="A10" s="3" t="inlineStr">
        <is>
          <t>Status of the work</t>
        </is>
      </c>
      <c r="B10" s="4" t="inlineStr">
        <is>
          <t>Paper design. NOTHING HAS BEEN BUILT. No figure here is a measurement unless its grade says 'measured'.</t>
        </is>
      </c>
      <c r="C10" s="5" t="n"/>
      <c r="D10" s="5" t="n"/>
      <c r="E10" s="5" t="n"/>
      <c r="F10" s="6" t="n"/>
    </row>
    <row r="11">
      <c r="A11" s="3" t="inlineStr">
        <is>
          <t>Licensing</t>
        </is>
      </c>
      <c r="B11" s="4" t="inlineStr">
        <is>
          <t>Hardware CERN-OHL-P v2 · documentation &amp; this workbook CC-BY-4.0 · generator script MIT (LICENSE.md)</t>
        </is>
      </c>
      <c r="C11" s="5" t="n"/>
      <c r="D11" s="5" t="n"/>
      <c r="E11" s="5" t="n"/>
      <c r="F11" s="6" t="n"/>
    </row>
    <row r="12">
      <c r="A12" s="3" t="inlineStr">
        <is>
          <t>Disclosure</t>
        </is>
      </c>
      <c r="B12" s="4" t="inlineStr">
        <is>
          <t>Open defensive publication. No patents sought or held.</t>
        </is>
      </c>
      <c r="C12" s="5" t="n"/>
      <c r="D12" s="5" t="n"/>
      <c r="E12" s="5" t="n"/>
      <c r="F12" s="6" t="n"/>
    </row>
    <row r="13">
      <c r="A13" s="3" t="inlineStr">
        <is>
          <t>Generated by</t>
        </is>
      </c>
      <c r="B13" s="4" t="inlineStr">
        <is>
          <t>scripts/build_parameter_workbook.py — regenerate rather than hand-edit</t>
        </is>
      </c>
      <c r="C13" s="5" t="n"/>
      <c r="D13" s="5" t="n"/>
      <c r="E13" s="5" t="n"/>
      <c r="F13" s="6" t="n"/>
    </row>
    <row r="15" ht="16" customHeight="1">
      <c r="A15" s="7" t="inlineStr">
        <is>
          <t>SAFETY — binding on any build (doc 00 §8)</t>
        </is>
      </c>
      <c r="B15" s="5" t="n"/>
      <c r="C15" s="5" t="n"/>
      <c r="D15" s="5" t="n"/>
      <c r="E15" s="5" t="n"/>
      <c r="F15" s="6" t="n"/>
    </row>
    <row r="16" ht="30" customHeight="1">
      <c r="A16" s="4" t="inlineStr">
        <is>
          <t>CO₂ interlock (&lt;1,000 ppm target / 2,000 alarm / per-room maximum sensing / mechanical minimum stop) · no combustion appliances in the envelope · aerosol and slip assays before any cabin connection · potability and TDS tests before any water is drunk · crystallization interlock · two-worlds materials rule. Any build omitting these departs from this design.</t>
        </is>
      </c>
      <c r="B16" s="8" t="n"/>
      <c r="C16" s="8" t="n"/>
      <c r="D16" s="8" t="n"/>
      <c r="E16" s="8" t="n"/>
      <c r="F16" s="9" t="n"/>
    </row>
    <row r="17">
      <c r="A17" s="10" t="n"/>
      <c r="F17" s="11" t="n"/>
    </row>
    <row r="18">
      <c r="A18" s="12" t="n"/>
      <c r="B18" s="13" t="n"/>
      <c r="C18" s="13" t="n"/>
      <c r="D18" s="13" t="n"/>
      <c r="E18" s="13" t="n"/>
      <c r="F18" s="14" t="n"/>
    </row>
    <row r="20" ht="16" customHeight="1">
      <c r="A20" s="7" t="inlineStr">
        <is>
          <t>SHEET INDEX</t>
        </is>
      </c>
      <c r="B20" s="5" t="n"/>
      <c r="C20" s="5" t="n"/>
      <c r="D20" s="5" t="n"/>
      <c r="E20" s="5" t="n"/>
      <c r="F20" s="6" t="n"/>
    </row>
    <row r="21">
      <c r="A21" s="15" t="inlineStr">
        <is>
          <t>Sheet</t>
        </is>
      </c>
      <c r="B21" s="15" t="inlineStr">
        <is>
          <t>Contents</t>
        </is>
      </c>
      <c r="C21" s="5" t="n"/>
      <c r="D21" s="5" t="n"/>
      <c r="E21" s="5" t="n"/>
      <c r="F21" s="6" t="n"/>
    </row>
    <row r="22">
      <c r="A22" s="3" t="inlineStr">
        <is>
          <t>Legend</t>
        </is>
      </c>
      <c r="B22" s="4" t="inlineStr">
        <is>
          <t>Confidence grades, column definitions, cell conventions, unit policy</t>
        </is>
      </c>
      <c r="C22" s="5" t="n"/>
      <c r="D22" s="5" t="n"/>
      <c r="E22" s="5" t="n"/>
      <c r="F22" s="6" t="n"/>
    </row>
    <row r="23">
      <c r="A23" s="3" t="inlineStr">
        <is>
          <t>Design Point</t>
        </is>
      </c>
      <c r="B23" s="4" t="inlineStr">
        <is>
          <t>The named constants every calculation sheet references</t>
        </is>
      </c>
      <c r="C23" s="5" t="n"/>
      <c r="D23" s="5" t="n"/>
      <c r="E23" s="5" t="n"/>
      <c r="F23" s="6" t="n"/>
    </row>
    <row r="24">
      <c r="A24" s="3" t="inlineStr">
        <is>
          <t>Register</t>
        </is>
      </c>
      <c r="B24" s="4" t="inlineStr">
        <is>
          <t>Master parameter register — filterable, one row per published value</t>
        </is>
      </c>
      <c r="C24" s="5" t="n"/>
      <c r="D24" s="5" t="n"/>
      <c r="E24" s="5" t="n"/>
      <c r="F24" s="6" t="n"/>
    </row>
    <row r="25">
      <c r="A25" s="3" t="inlineStr">
        <is>
          <t>Psychrometrics</t>
        </is>
      </c>
      <c r="B25" s="4" t="inlineStr">
        <is>
          <t>Magnus formulation; converter; saturation table validated against doc 00 §2</t>
        </is>
      </c>
      <c r="C25" s="5" t="n"/>
      <c r="D25" s="5" t="n"/>
      <c r="E25" s="5" t="n"/>
      <c r="F25" s="6" t="n"/>
    </row>
    <row r="26">
      <c r="A26" s="3" t="inlineStr">
        <is>
          <t>Model 00§4</t>
        </is>
      </c>
      <c r="B26" s="4" t="inlineStr">
        <is>
          <t>The generalized airflow–moisture model, solved live for three topologies</t>
        </is>
      </c>
      <c r="C26" s="5" t="n"/>
      <c r="D26" s="5" t="n"/>
      <c r="E26" s="5" t="n"/>
      <c r="F26" s="6" t="n"/>
    </row>
    <row r="27">
      <c r="A27" s="3" t="inlineStr">
        <is>
          <t>Liquid Sizing</t>
        </is>
      </c>
      <c r="B27" s="4" t="inlineStr">
        <is>
          <t>Mixed-mode removal, regeneration, reserve and rejection — live from DP-A</t>
        </is>
      </c>
      <c r="C27" s="5" t="n"/>
      <c r="D27" s="5" t="n"/>
      <c r="E27" s="5" t="n"/>
      <c r="F27" s="6" t="n"/>
    </row>
    <row r="28">
      <c r="A28" s="3" t="inlineStr">
        <is>
          <t>Solid Sizing</t>
        </is>
      </c>
      <c r="B28" s="4" t="inlineStr">
        <is>
          <t>Duty → inventory → coated area → condensate balance, with the F3 penalty</t>
        </is>
      </c>
      <c r="C28" s="5" t="n"/>
      <c r="D28" s="5" t="n"/>
      <c r="E28" s="5" t="n"/>
      <c r="F28" s="6" t="n"/>
    </row>
    <row r="29">
      <c r="A29" s="3" t="inlineStr">
        <is>
          <t>CO2 &amp; Ventilation</t>
        </is>
      </c>
      <c r="B29" s="4" t="inlineStr">
        <is>
          <t>Dose–response ladder, ERV economics, scrubber duty — live</t>
        </is>
      </c>
      <c r="C29" s="5" t="n"/>
      <c r="D29" s="5" t="n"/>
      <c r="E29" s="5" t="n"/>
      <c r="F29" s="6" t="n"/>
    </row>
    <row r="30">
      <c r="A30" s="3" t="inlineStr">
        <is>
          <t>Heat &amp; Water</t>
        </is>
      </c>
      <c r="B30" s="4" t="inlineStr">
        <is>
          <t>Daily heat budget, collector/fuel sizing, water redundancy ladder</t>
        </is>
      </c>
      <c r="C30" s="5" t="n"/>
      <c r="D30" s="5" t="n"/>
      <c r="E30" s="5" t="n"/>
      <c r="F30" s="6" t="n"/>
    </row>
    <row r="31">
      <c r="A31" s="3" t="inlineStr">
        <is>
          <t>Upgrade Paths</t>
        </is>
      </c>
      <c r="B31" s="4" t="inlineStr">
        <is>
          <t>X12 lift-ceiling inequality and the MVR pressure ratio, solved live</t>
        </is>
      </c>
      <c r="C31" s="5" t="n"/>
      <c r="D31" s="5" t="n"/>
      <c r="E31" s="5" t="n"/>
      <c r="F31" s="6" t="n"/>
    </row>
    <row r="32">
      <c r="A32" s="3" t="inlineStr">
        <is>
          <t>Test Program</t>
        </is>
      </c>
      <c r="B32" s="4" t="inlineStr">
        <is>
          <t>Tests A–L and T/M series with costs, durations, and the live budget sum</t>
        </is>
      </c>
      <c r="C32" s="5" t="n"/>
      <c r="D32" s="5" t="n"/>
      <c r="E32" s="5" t="n"/>
      <c r="F32" s="6" t="n"/>
    </row>
    <row r="33">
      <c r="A33" s="3" t="inlineStr">
        <is>
          <t>Findings</t>
        </is>
      </c>
      <c r="B33" s="4" t="inlineStr">
        <is>
          <t>F1–F6, X1–X12, X14, spec P17 — status and where each lives</t>
        </is>
      </c>
      <c r="C33" s="5" t="n"/>
      <c r="D33" s="5" t="n"/>
      <c r="E33" s="5" t="n"/>
      <c r="F33" s="6" t="n"/>
    </row>
    <row r="34">
      <c r="A34" s="3" t="inlineStr">
        <is>
          <t>Safety &amp; Materials</t>
        </is>
      </c>
      <c r="B34" s="4" t="inlineStr">
        <is>
          <t>The binding register and the two-worlds materials law</t>
        </is>
      </c>
      <c r="C34" s="5" t="n"/>
      <c r="D34" s="5" t="n"/>
      <c r="E34" s="5" t="n"/>
      <c r="F34" s="6" t="n"/>
    </row>
    <row r="35">
      <c r="A35" s="3" t="inlineStr">
        <is>
          <t>Checks</t>
        </is>
      </c>
      <c r="B35" s="4" t="inlineStr">
        <is>
          <t>Consistency observations raised while compiling this register</t>
        </is>
      </c>
      <c r="C35" s="5" t="n"/>
      <c r="D35" s="5" t="n"/>
      <c r="E35" s="5" t="n"/>
      <c r="F35" s="6" t="n"/>
    </row>
    <row r="36">
      <c r="A36" s="3" t="inlineStr">
        <is>
          <t>Sources</t>
        </is>
      </c>
      <c r="B36" s="4" t="inlineStr">
        <is>
          <t>Document set, versions, and scope</t>
        </is>
      </c>
      <c r="C36" s="5" t="n"/>
      <c r="D36" s="5" t="n"/>
      <c r="E36" s="5" t="n"/>
      <c r="F36" s="6" t="n"/>
    </row>
  </sheetData>
  <mergeCells count="31">
    <mergeCell ref="B4:F4"/>
    <mergeCell ref="B7:F7"/>
    <mergeCell ref="B25:F25"/>
    <mergeCell ref="B31:F31"/>
    <mergeCell ref="B22:F22"/>
    <mergeCell ref="A16:F18"/>
    <mergeCell ref="B27:F27"/>
    <mergeCell ref="B21:F21"/>
    <mergeCell ref="A2:F2"/>
    <mergeCell ref="B12:F12"/>
    <mergeCell ref="B11:F11"/>
    <mergeCell ref="B23:F23"/>
    <mergeCell ref="B8:F8"/>
    <mergeCell ref="A20:F20"/>
    <mergeCell ref="B13:F13"/>
    <mergeCell ref="B29:F29"/>
    <mergeCell ref="B34:F34"/>
    <mergeCell ref="B10:F10"/>
    <mergeCell ref="B28:F28"/>
    <mergeCell ref="A15:F15"/>
    <mergeCell ref="B9:F9"/>
    <mergeCell ref="B30:F30"/>
    <mergeCell ref="B6:F6"/>
    <mergeCell ref="B24:F24"/>
    <mergeCell ref="B33:F33"/>
    <mergeCell ref="A1:F1"/>
    <mergeCell ref="B5:F5"/>
    <mergeCell ref="B36:F36"/>
    <mergeCell ref="B32:F32"/>
    <mergeCell ref="B26:F26"/>
    <mergeCell ref="B35:F35"/>
  </mergeCells>
  <printOptions horizontalCentered="1"/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2" customWidth="1" min="3" max="3"/>
    <col width="2" customWidth="1" min="4" max="4"/>
    <col width="2" customWidth="1" min="5" max="5"/>
  </cols>
  <sheetData>
    <row r="1" ht="22" customHeight="1">
      <c r="A1" s="1" t="inlineStr">
        <is>
          <t>Legend &amp; conventions</t>
        </is>
      </c>
    </row>
    <row r="2">
      <c r="A2" s="2" t="inlineStr">
        <is>
          <t>How to read — and how to extend — this register.</t>
        </is>
      </c>
    </row>
    <row r="4" ht="30" customHeight="1">
      <c r="A4" s="15" t="inlineStr">
        <is>
          <t>Confidence grade</t>
        </is>
      </c>
      <c r="B4" s="15" t="inlineStr">
        <is>
          <t>Meaning</t>
        </is>
      </c>
      <c r="C4" s="15" t="inlineStr">
        <is>
          <t>Rule</t>
        </is>
      </c>
      <c r="D4" s="15" t="inlineStr"/>
      <c r="E4" s="15" t="inlineStr"/>
    </row>
    <row r="5">
      <c r="A5" s="3" t="inlineStr">
        <is>
          <t>measured</t>
        </is>
      </c>
      <c r="B5" s="4" t="inlineStr">
        <is>
          <t>A number this project has physically measured</t>
        </is>
      </c>
      <c r="C5" s="4" t="inlineStr">
        <is>
          <t>None yet — the program is unbuilt</t>
        </is>
      </c>
    </row>
    <row r="6">
      <c r="A6" s="3" t="inlineStr">
        <is>
          <t>measured (lit.)</t>
        </is>
      </c>
      <c r="B6" s="4" t="inlineStr">
        <is>
          <t>Measured by others and cited</t>
        </is>
      </c>
      <c r="C6" s="4" t="inlineStr">
        <is>
          <t>Cite the regime; literature values rarely transfer across purge humidity</t>
        </is>
      </c>
    </row>
    <row r="7">
      <c r="A7" s="3" t="inlineStr">
        <is>
          <t>procurement-grade</t>
        </is>
      </c>
      <c r="B7" s="4" t="inlineStr">
        <is>
          <t>From a datasheet, COA, or supplier quote</t>
        </is>
      </c>
      <c r="C7" s="4" t="inlineStr">
        <is>
          <t>Verify per lot; hydrate assays drift</t>
        </is>
      </c>
    </row>
    <row r="8">
      <c r="A8" s="3" t="inlineStr">
        <is>
          <t>sizing-grade</t>
        </is>
      </c>
      <c r="B8" s="4" t="inlineStr">
        <is>
          <t>Derived from first principles or published correlations</t>
        </is>
      </c>
      <c r="C8" s="4" t="inlineStr">
        <is>
          <t>Usable for sizing, never for acceptance</t>
        </is>
      </c>
    </row>
    <row r="9">
      <c r="A9" s="3" t="inlineStr">
        <is>
          <t>estimate-grade</t>
        </is>
      </c>
      <c r="B9" s="4" t="inlineStr">
        <is>
          <t>Doc 31 upgrade paths — no bench basis at all</t>
        </is>
      </c>
      <c r="C9" s="4" t="inlineStr">
        <is>
          <t>Never load-bearing for any DP-A claim</t>
        </is>
      </c>
    </row>
    <row r="10">
      <c r="A10" s="3" t="inlineStr">
        <is>
          <t>PENDING &lt;test&gt;</t>
        </is>
      </c>
      <c r="B10" s="4" t="inlineStr">
        <is>
          <t>Explicitly gated on a named experiment</t>
        </is>
      </c>
      <c r="C10" s="4" t="inlineStr">
        <is>
          <t>Do not upgrade the grade without the result</t>
        </is>
      </c>
    </row>
    <row r="11">
      <c r="A11" s="3" t="inlineStr">
        <is>
          <t>requirement</t>
        </is>
      </c>
      <c r="B11" s="4" t="inlineStr">
        <is>
          <t>A specification the design must meet</t>
        </is>
      </c>
      <c r="C11" s="4" t="inlineStr">
        <is>
          <t>Binding; changes require a version bump</t>
        </is>
      </c>
    </row>
    <row r="12">
      <c r="A12" s="3" t="inlineStr">
        <is>
          <t>governing / platform</t>
        </is>
      </c>
      <c r="B12" s="4" t="inlineStr">
        <is>
          <t>Fixed by the design point or the platform definition</t>
        </is>
      </c>
      <c r="C12" s="4" t="inlineStr">
        <is>
          <t>Changing one invalidates every derived number</t>
        </is>
      </c>
    </row>
    <row r="13">
      <c r="A13" s="3" t="inlineStr">
        <is>
          <t>rejected / superseded</t>
        </is>
      </c>
      <c r="B13" s="4" t="inlineStr">
        <is>
          <t>Retained as the record of what was tried</t>
        </is>
      </c>
      <c r="C13" s="4" t="inlineStr">
        <is>
          <t>Kept visible on purpose — the correction trail</t>
        </is>
      </c>
    </row>
    <row r="15" ht="16" customHeight="1">
      <c r="A15" s="7" t="inlineStr">
        <is>
          <t>CELL CONVENTIONS</t>
        </is>
      </c>
      <c r="B15" s="5" t="n"/>
      <c r="C15" s="5" t="n"/>
      <c r="D15" s="5" t="n"/>
      <c r="E15" s="6" t="n"/>
    </row>
    <row r="16">
      <c r="A16" s="3" t="inlineStr">
        <is>
          <t>Blue bold on pale fill</t>
        </is>
      </c>
      <c r="B16" s="4" t="inlineStr">
        <is>
          <t>INPUT — safe to change; every calculation downstream follows</t>
        </is>
      </c>
      <c r="C16" s="6" t="n"/>
    </row>
    <row r="17">
      <c r="A17" s="3" t="inlineStr">
        <is>
          <t>Plain right-aligned</t>
        </is>
      </c>
      <c r="B17" s="4" t="inlineStr">
        <is>
          <t>CALCULATED — a live formula; do not overwrite</t>
        </is>
      </c>
      <c r="C17" s="6" t="n"/>
    </row>
    <row r="18">
      <c r="A18" s="3" t="inlineStr">
        <is>
          <t>Grey italic</t>
        </is>
      </c>
      <c r="B18" s="4" t="inlineStr">
        <is>
          <t>PUBLISHED value quoted from the documents for comparison</t>
        </is>
      </c>
      <c r="C18" s="6" t="n"/>
    </row>
    <row r="19">
      <c r="A19" s="3" t="inlineStr">
        <is>
          <t>OK / REVIEW</t>
        </is>
      </c>
      <c r="B19" s="4" t="inlineStr">
        <is>
          <t>Automatic check: calculated vs published within ±10%</t>
        </is>
      </c>
      <c r="C19" s="6" t="n"/>
    </row>
    <row r="20">
      <c r="A20" s="3" t="inlineStr">
        <is>
          <t>VALUE vs MIN/MAX</t>
        </is>
      </c>
      <c r="B20" s="4" t="inlineStr">
        <is>
          <t>A single-point figure goes in VALUE; a published band goes in MIN and MAX</t>
        </is>
      </c>
      <c r="C20" s="6" t="n"/>
    </row>
    <row r="21">
      <c r="A21" s="3" t="inlineStr">
        <is>
          <t>Units</t>
        </is>
      </c>
      <c r="B21" s="4" t="inlineStr">
        <is>
          <t>SI throughout; humidity ratio in g/kg dry air, heat in kW and kWh/day, concentration in wt%, CO₂ in ppm by volume</t>
        </is>
      </c>
      <c r="C21" s="6" t="n"/>
    </row>
    <row r="22">
      <c r="A22" s="3" t="inlineStr">
        <is>
          <t>Traceability</t>
        </is>
      </c>
      <c r="B22" s="4" t="inlineStr">
        <is>
          <t>Every register row names its source document and section. If a row has no source, it does not belong here</t>
        </is>
      </c>
      <c r="C22" s="6" t="n"/>
    </row>
    <row r="23">
      <c r="A23" s="3" t="inlineStr">
        <is>
          <t>Recalculation</t>
        </is>
      </c>
      <c r="B23" s="4" t="inlineStr">
        <is>
          <t>The workbook is saved with full-calculation-on-load; formulas re-solve when opened</t>
        </is>
      </c>
      <c r="C23" s="6" t="n"/>
    </row>
  </sheetData>
  <mergeCells count="11">
    <mergeCell ref="B21:C21"/>
    <mergeCell ref="B16:C16"/>
    <mergeCell ref="A2:E2"/>
    <mergeCell ref="A15:E15"/>
    <mergeCell ref="B19:C19"/>
    <mergeCell ref="B20:C20"/>
    <mergeCell ref="B23:C23"/>
    <mergeCell ref="B22:C22"/>
    <mergeCell ref="A1:E1"/>
    <mergeCell ref="B17:C17"/>
    <mergeCell ref="B18:C18"/>
  </mergeCells>
  <printOptions horizontalCentered="1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E6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74" customWidth="1" min="4" max="4"/>
    <col width="4" customWidth="1" min="5" max="5"/>
  </cols>
  <sheetData>
    <row r="1" ht="22" customHeight="1">
      <c r="A1" s="1" t="inlineStr">
        <is>
          <t>Design point &amp; named constants</t>
        </is>
      </c>
    </row>
    <row r="2">
      <c r="A2" s="2" t="inlineStr">
        <is>
          <t>DP-A is the sole design point — the continuous-duty maximum for every mode. Change a blue cell and every calculation sheet follows.</t>
        </is>
      </c>
    </row>
    <row r="4" ht="16" customHeight="1">
      <c r="A4" s="7" t="inlineStr">
        <is>
          <t>AMBIENT — DP-A (doc 00 §2)</t>
        </is>
      </c>
      <c r="B4" s="5" t="n"/>
      <c r="C4" s="5" t="n"/>
      <c r="D4" s="6" t="n"/>
    </row>
    <row r="5">
      <c r="A5" s="3" t="inlineStr">
        <is>
          <t>Ambient dry-bulb</t>
        </is>
      </c>
      <c r="B5" s="16" t="n">
        <v>32</v>
      </c>
      <c r="C5" s="4" t="inlineStr">
        <is>
          <t>°C</t>
        </is>
      </c>
      <c r="D5" s="2" t="inlineStr">
        <is>
          <t>Sole design point; excursions are transient, never a sizing basis</t>
        </is>
      </c>
    </row>
    <row r="6">
      <c r="A6" s="3" t="inlineStr">
        <is>
          <t>Ambient relative humidity</t>
        </is>
      </c>
      <c r="B6" s="16" t="n">
        <v>0.8</v>
      </c>
      <c r="C6" s="4" t="inlineStr">
        <is>
          <t>—</t>
        </is>
      </c>
      <c r="D6" s="2" t="inlineStr">
        <is>
          <t>Entered as a fraction</t>
        </is>
      </c>
    </row>
    <row r="7">
      <c r="A7" s="3" t="inlineStr">
        <is>
          <t>Raw-water sink</t>
        </is>
      </c>
      <c r="B7" s="16" t="n">
        <v>29</v>
      </c>
      <c r="C7" s="4" t="inlineStr">
        <is>
          <t>°C</t>
        </is>
      </c>
      <c r="D7" s="2" t="inlineStr">
        <is>
          <t>Marine tropical surface; land sinks often cooler = margin</t>
        </is>
      </c>
    </row>
    <row r="8">
      <c r="A8" s="3" t="inlineStr">
        <is>
          <t>Atmospheric pressure</t>
        </is>
      </c>
      <c r="B8" s="16" t="n">
        <v>101.325</v>
      </c>
      <c r="C8" s="4" t="inlineStr">
        <is>
          <t>kPa</t>
        </is>
      </c>
      <c r="D8" s="2" t="inlineStr">
        <is>
          <t>Magnus basis for every ω conversion</t>
        </is>
      </c>
    </row>
    <row r="9">
      <c r="A9" s="3" t="inlineStr">
        <is>
          <t>Partial-pressure denominator used in doc 12</t>
        </is>
      </c>
      <c r="B9" s="16" t="n">
        <v>97.5</v>
      </c>
      <c r="C9" s="4" t="inlineStr">
        <is>
          <t>kPa</t>
        </is>
      </c>
      <c r="D9" s="2" t="inlineStr">
        <is>
          <t>Doc 12 §1 divides by 97.5 kPa (P_atm − Pv) rather than P_atm — reproduced here for traceability</t>
        </is>
      </c>
    </row>
    <row r="11" ht="16" customHeight="1">
      <c r="A11" s="7" t="inlineStr">
        <is>
          <t>PLATFORM</t>
        </is>
      </c>
      <c r="B11" s="5" t="n"/>
      <c r="C11" s="5" t="n"/>
      <c r="D11" s="6" t="n"/>
    </row>
    <row r="12">
      <c r="A12" s="3" t="inlineStr">
        <is>
          <t>Conditioned volume</t>
        </is>
      </c>
      <c r="B12" s="16" t="n">
        <v>100</v>
      </c>
      <c r="C12" s="4" t="inlineStr">
        <is>
          <t>m³</t>
        </is>
      </c>
      <c r="D12" s="2" t="inlineStr">
        <is>
          <t>Yacht interior / small dwelling / cabin / shelter</t>
        </is>
      </c>
    </row>
    <row r="13">
      <c r="A13" s="3" t="inlineStr">
        <is>
          <t>Occupants</t>
        </is>
      </c>
      <c r="B13" s="16" t="n">
        <v>4</v>
      </c>
      <c r="C13" s="4" t="inlineStr">
        <is>
          <t>person</t>
        </is>
      </c>
      <c r="D13" s="2" t="inlineStr"/>
    </row>
    <row r="14">
      <c r="A14" s="3" t="inlineStr">
        <is>
          <t>Latent generation per occupant</t>
        </is>
      </c>
      <c r="B14" s="16" t="n">
        <v>70</v>
      </c>
      <c r="C14" s="4" t="inlineStr">
        <is>
          <t>g/h</t>
        </is>
      </c>
      <c r="D14" s="2" t="inlineStr">
        <is>
          <t>50 sleeping · 90 active; ±30% band</t>
        </is>
      </c>
    </row>
    <row r="15">
      <c r="A15" s="3" t="inlineStr">
        <is>
          <t>Peak sensible load (solid track)</t>
        </is>
      </c>
      <c r="B15" s="16" t="n">
        <v>3.5</v>
      </c>
      <c r="C15" s="4" t="inlineStr">
        <is>
          <t>kW</t>
        </is>
      </c>
      <c r="D15" s="2" t="inlineStr">
        <is>
          <t>Solar noon, ~100 m³ envelope</t>
        </is>
      </c>
    </row>
    <row r="16">
      <c r="A16" s="3" t="inlineStr">
        <is>
          <t>Fresh-air floor</t>
        </is>
      </c>
      <c r="B16" s="16" t="n">
        <v>48</v>
      </c>
      <c r="C16" s="4" t="inlineStr">
        <is>
          <t>m³/h</t>
        </is>
      </c>
      <c r="D16" s="2" t="inlineStr">
        <is>
          <t>12 m³/h·person — CO₂-interlocked, mechanical minimum stop</t>
        </is>
      </c>
    </row>
    <row r="17">
      <c r="A17" s="3" t="inlineStr">
        <is>
          <t>CO₂ generation, crew total awake</t>
        </is>
      </c>
      <c r="B17" s="16" t="n">
        <v>0.07199999999999999</v>
      </c>
      <c r="C17" s="4" t="inlineStr">
        <is>
          <t>m³/h</t>
        </is>
      </c>
      <c r="D17" s="2" t="inlineStr">
        <is>
          <t>0.047 asleep; ≈3.4 kg/day</t>
        </is>
      </c>
    </row>
    <row r="18">
      <c r="A18" s="3" t="inlineStr">
        <is>
          <t>Outdoor CO₂ baseline</t>
        </is>
      </c>
      <c r="B18" s="16" t="n">
        <v>400</v>
      </c>
      <c r="C18" s="4" t="inlineStr">
        <is>
          <t>ppm</t>
        </is>
      </c>
      <c r="D18" s="2" t="inlineStr"/>
    </row>
    <row r="19">
      <c r="A19" s="3" t="inlineStr">
        <is>
          <t>CO₂ specification (P17)</t>
        </is>
      </c>
      <c r="B19" s="16" t="n">
        <v>1000</v>
      </c>
      <c r="C19" s="4" t="inlineStr">
        <is>
          <t>ppm</t>
        </is>
      </c>
      <c r="D19" s="2" t="inlineStr">
        <is>
          <t>Safety-critical, all modes including sealed</t>
        </is>
      </c>
    </row>
    <row r="21" ht="16" customHeight="1">
      <c r="A21" s="7" t="inlineStr">
        <is>
          <t>COMFORT TARGETS</t>
        </is>
      </c>
      <c r="B21" s="5" t="n"/>
      <c r="C21" s="5" t="n"/>
      <c r="D21" s="6" t="n"/>
    </row>
    <row r="22">
      <c r="A22" s="3" t="inlineStr">
        <is>
          <t>Cabin target, liquid track</t>
        </is>
      </c>
      <c r="B22" s="16" t="n">
        <v>29</v>
      </c>
      <c r="C22" s="4" t="inlineStr">
        <is>
          <t>°C</t>
        </is>
      </c>
      <c r="D22" s="2" t="inlineStr">
        <is>
          <t>At 55% RH → ω 13.8 g/kg</t>
        </is>
      </c>
    </row>
    <row r="23">
      <c r="A23" s="3" t="inlineStr">
        <is>
          <t>Cabin target RH, liquid track</t>
        </is>
      </c>
      <c r="B23" s="16" t="n">
        <v>0.55</v>
      </c>
      <c r="C23" s="4" t="inlineStr">
        <is>
          <t>—</t>
        </is>
      </c>
      <c r="D23" s="2" t="inlineStr"/>
    </row>
    <row r="24">
      <c r="A24" s="3" t="inlineStr">
        <is>
          <t>Cabin target, solid track</t>
        </is>
      </c>
      <c r="B24" s="16" t="n">
        <v>25</v>
      </c>
      <c r="C24" s="4" t="inlineStr">
        <is>
          <t>°C</t>
        </is>
      </c>
      <c r="D24" s="2" t="inlineStr">
        <is>
          <t>40–55% RH band</t>
        </is>
      </c>
    </row>
    <row r="26" ht="16" customHeight="1">
      <c r="A26" s="7" t="inlineStr">
        <is>
          <t>SORBENT BACK-ENDS</t>
        </is>
      </c>
      <c r="B26" s="5" t="n"/>
      <c r="C26" s="5" t="n"/>
      <c r="D26" s="6" t="n"/>
    </row>
    <row r="27">
      <c r="A27" s="3" t="inlineStr">
        <is>
          <t>Water activity, 40 wt% CaCl₂</t>
        </is>
      </c>
      <c r="B27" s="16" t="n">
        <v>0.45</v>
      </c>
      <c r="C27" s="4" t="inlineStr">
        <is>
          <t>—</t>
        </is>
      </c>
      <c r="D27" s="2" t="inlineStr">
        <is>
          <t>PENDING test A — ±0.05 is the largest single unknown</t>
        </is>
      </c>
    </row>
    <row r="28">
      <c r="A28" s="3" t="inlineStr">
        <is>
          <t>Water activity, 43–44 wt% CaCl₂</t>
        </is>
      </c>
      <c r="B28" s="16" t="n">
        <v>0.34</v>
      </c>
      <c r="C28" s="4" t="inlineStr">
        <is>
          <t>—</t>
        </is>
      </c>
      <c r="D28" s="2" t="inlineStr">
        <is>
          <t>PENDING test A — the hot-regen lever</t>
        </is>
      </c>
    </row>
    <row r="29">
      <c r="A29" s="3" t="inlineStr">
        <is>
          <t>Brine temperature at the contactor</t>
        </is>
      </c>
      <c r="B29" s="16" t="n">
        <v>30</v>
      </c>
      <c r="C29" s="4" t="inlineStr">
        <is>
          <t>°C</t>
        </is>
      </c>
      <c r="D29" s="2" t="inlineStr">
        <is>
          <t>Sink 29 °C + approach; drives the floor band</t>
        </is>
      </c>
    </row>
    <row r="30">
      <c r="A30" s="3" t="inlineStr">
        <is>
          <t>Strong-brine concentration</t>
        </is>
      </c>
      <c r="B30" s="16" t="n">
        <v>40</v>
      </c>
      <c r="C30" s="4" t="inlineStr">
        <is>
          <t>wt%</t>
        </is>
      </c>
      <c r="D30" s="2" t="inlineStr"/>
    </row>
    <row r="31">
      <c r="A31" s="3" t="inlineStr">
        <is>
          <t>Dilute-brine concentration</t>
        </is>
      </c>
      <c r="B31" s="16" t="n">
        <v>35</v>
      </c>
      <c r="C31" s="4" t="inlineStr">
        <is>
          <t>wt%</t>
        </is>
      </c>
      <c r="D31" s="2" t="inlineStr"/>
    </row>
    <row r="32">
      <c r="A32" s="3" t="inlineStr">
        <is>
          <t>Supply humidity ratio, solid track</t>
        </is>
      </c>
      <c r="B32" s="16" t="n">
        <v>8</v>
      </c>
      <c r="C32" s="4" t="inlineStr">
        <is>
          <t>g/kg</t>
        </is>
      </c>
      <c r="D32" s="2" t="inlineStr">
        <is>
          <t>AlFu back-end — the model's only sorbent input</t>
        </is>
      </c>
    </row>
    <row r="34" ht="16" customHeight="1">
      <c r="A34" s="7" t="inlineStr">
        <is>
          <t>EFFECTIVENESS &amp; EFFICIENCY</t>
        </is>
      </c>
      <c r="B34" s="5" t="n"/>
      <c r="C34" s="5" t="n"/>
      <c r="D34" s="6" t="n"/>
    </row>
    <row r="35">
      <c r="A35" s="3" t="inlineStr">
        <is>
          <t>ERV latent effectiveness</t>
        </is>
      </c>
      <c r="B35" s="16" t="n">
        <v>0.8</v>
      </c>
      <c r="C35" s="4" t="inlineStr">
        <is>
          <t>—</t>
        </is>
      </c>
      <c r="D35" s="2" t="inlineStr">
        <is>
          <t>PENDING test E; ≥0.8 is the X7 basis</t>
        </is>
      </c>
    </row>
    <row r="36">
      <c r="A36" s="3" t="inlineStr">
        <is>
          <t>M-cycle dew-point effectiveness</t>
        </is>
      </c>
      <c r="B36" s="16" t="n">
        <v>0.7</v>
      </c>
      <c r="C36" s="4" t="inlineStr">
        <is>
          <t>—</t>
        </is>
      </c>
      <c r="D36" s="2" t="inlineStr">
        <is>
          <t>0.65–0.80 band; 0.70 is the model value</t>
        </is>
      </c>
    </row>
    <row r="37">
      <c r="A37" s="3" t="inlineStr">
        <is>
          <t>Liquid regeneration thermal COP</t>
        </is>
      </c>
      <c r="B37" s="16" t="n">
        <v>0.59</v>
      </c>
      <c r="C37" s="4" t="inlineStr">
        <is>
          <t>—</t>
        </is>
      </c>
      <c r="D37" s="2" t="inlineStr">
        <is>
          <t>Build-up in doc 12 §1; 0.65 with a recovery HX</t>
        </is>
      </c>
    </row>
    <row r="38">
      <c r="A38" s="3" t="inlineStr">
        <is>
          <t>Solid specific regeneration energy</t>
        </is>
      </c>
      <c r="B38" s="16" t="n">
        <v>0.85</v>
      </c>
      <c r="C38" s="4" t="inlineStr">
        <is>
          <t>kWh/L</t>
        </is>
      </c>
      <c r="D38" s="2" t="inlineStr">
        <is>
          <t>0.8–1.0 band; latent floor is 0.67</t>
        </is>
      </c>
    </row>
    <row r="40" ht="16" customHeight="1">
      <c r="A40" s="7" t="inlineStr">
        <is>
          <t>PHYSICAL CONSTANTS (do not edit)</t>
        </is>
      </c>
      <c r="B40" s="5" t="n"/>
      <c r="C40" s="5" t="n"/>
      <c r="D40" s="6" t="n"/>
    </row>
    <row r="41">
      <c r="A41" s="3" t="inlineStr">
        <is>
          <t>Magnus coefficient A</t>
        </is>
      </c>
      <c r="B41" s="17" t="n">
        <v>0.61094</v>
      </c>
      <c r="C41" s="4" t="inlineStr">
        <is>
          <t>kPa</t>
        </is>
      </c>
      <c r="D41" s="2" t="inlineStr">
        <is>
          <t>Psat = A·exp(B·T/(T+C)), T in °C</t>
        </is>
      </c>
    </row>
    <row r="42">
      <c r="A42" s="3" t="inlineStr">
        <is>
          <t>Magnus coefficient B</t>
        </is>
      </c>
      <c r="B42" s="17" t="n">
        <v>17.625</v>
      </c>
      <c r="C42" s="4" t="inlineStr">
        <is>
          <t>—</t>
        </is>
      </c>
      <c r="D42" s="2" t="inlineStr">
        <is>
          <t>Alduchov–Eskridge form</t>
        </is>
      </c>
    </row>
    <row r="43">
      <c r="A43" s="3" t="inlineStr">
        <is>
          <t>Magnus coefficient C</t>
        </is>
      </c>
      <c r="B43" s="17" t="n">
        <v>243.04</v>
      </c>
      <c r="C43" s="4" t="inlineStr">
        <is>
          <t>°C</t>
        </is>
      </c>
      <c r="D43" s="2" t="inlineStr"/>
    </row>
    <row r="44">
      <c r="A44" s="3" t="inlineStr">
        <is>
          <t>Mass ratio water/dry air</t>
        </is>
      </c>
      <c r="B44" s="17" t="n">
        <v>0.622</v>
      </c>
      <c r="C44" s="4" t="inlineStr">
        <is>
          <t>—</t>
        </is>
      </c>
      <c r="D44" s="2" t="inlineStr">
        <is>
          <t>M_w/M_a = 18.015/28.964</t>
        </is>
      </c>
    </row>
    <row r="45">
      <c r="A45" s="3" t="inlineStr">
        <is>
          <t>Specific heat, dry air</t>
        </is>
      </c>
      <c r="B45" s="17" t="n">
        <v>1.006</v>
      </c>
      <c r="C45" s="4" t="inlineStr">
        <is>
          <t>kJ/kg·K</t>
        </is>
      </c>
      <c r="D45" s="2" t="inlineStr"/>
    </row>
    <row r="46">
      <c r="A46" s="3" t="inlineStr">
        <is>
          <t>Specific heat, water vapour</t>
        </is>
      </c>
      <c r="B46" s="17" t="n">
        <v>1.86</v>
      </c>
      <c r="C46" s="4" t="inlineStr">
        <is>
          <t>kJ/kg·K</t>
        </is>
      </c>
      <c r="D46" s="2" t="inlineStr"/>
    </row>
    <row r="47">
      <c r="A47" s="3" t="inlineStr">
        <is>
          <t>Latent heat at 0 °C</t>
        </is>
      </c>
      <c r="B47" s="17" t="n">
        <v>2501</v>
      </c>
      <c r="C47" s="4" t="inlineStr">
        <is>
          <t>kJ/kg</t>
        </is>
      </c>
      <c r="D47" s="2" t="inlineStr">
        <is>
          <t>Enthalpy datum for the moist-air chain</t>
        </is>
      </c>
    </row>
    <row r="48">
      <c r="A48" s="3" t="inlineStr">
        <is>
          <t>Latent heat at regeneration</t>
        </is>
      </c>
      <c r="B48" s="17" t="n">
        <v>2440</v>
      </c>
      <c r="C48" s="4" t="inlineStr">
        <is>
          <t>kJ/kg</t>
        </is>
      </c>
      <c r="D48" s="2" t="inlineStr">
        <is>
          <t>2.44 MJ/kg — the doc 10 §3 basis</t>
        </is>
      </c>
    </row>
    <row r="49">
      <c r="A49" s="3" t="inlineStr">
        <is>
          <t>Absorption heat into brine</t>
        </is>
      </c>
      <c r="B49" s="17" t="n">
        <v>2700</v>
      </c>
      <c r="C49" s="4" t="inlineStr">
        <is>
          <t>kJ/kg</t>
        </is>
      </c>
      <c r="D49" s="2" t="inlineStr">
        <is>
          <t>2.7 MJ/kg — exceeds latent by the heat of dilution</t>
        </is>
      </c>
    </row>
    <row r="50">
      <c r="A50" s="3" t="inlineStr">
        <is>
          <t>Air density at DP-A (physical)</t>
        </is>
      </c>
      <c r="B50" s="17" t="n">
        <v>1.164</v>
      </c>
      <c r="C50" s="4" t="inlineStr">
        <is>
          <t>kg/m³</t>
        </is>
      </c>
      <c r="D50" s="2" t="inlineStr">
        <is>
          <t>Dry air at 32 °C, 101.325 kPa. Moist air at DP-A is lower still (~1.145)</t>
        </is>
      </c>
    </row>
    <row r="51">
      <c r="A51" s="3" t="inlineStr">
        <is>
          <t>Air density basis used in the documents</t>
        </is>
      </c>
      <c r="B51" s="17" t="n">
        <v>1.208</v>
      </c>
      <c r="C51" s="4" t="inlineStr">
        <is>
          <t>kg/m³</t>
        </is>
      </c>
      <c r="D51" s="2" t="inlineStr">
        <is>
          <t>Back-solved from doc 12's 48 m³/h → 58 kg/h and 75 → 90.6 kg/h (standard ~1.2 air). Used for the liquid mass flows so the published figures reproduce — see CHK-009</t>
        </is>
      </c>
    </row>
    <row r="52">
      <c r="A52" s="3" t="inlineStr">
        <is>
          <t>Seconds per hour</t>
        </is>
      </c>
      <c r="B52" s="17" t="n">
        <v>3600</v>
      </c>
      <c r="C52" s="4" t="inlineStr">
        <is>
          <t>s/h</t>
        </is>
      </c>
      <c r="D52" s="2" t="inlineStr"/>
    </row>
    <row r="55">
      <c r="A55" s="7" t="inlineStr">
        <is>
          <t>DERIVED AT DP-A (live — these reproduce the doc 00 §2 / doc 12 §1 headline figures)</t>
        </is>
      </c>
      <c r="B55" s="5" t="n"/>
      <c r="C55" s="5" t="n"/>
      <c r="D55" s="6" t="n"/>
    </row>
    <row r="56">
      <c r="A56" s="3" t="inlineStr">
        <is>
          <t>Saturation pressure at ambient</t>
        </is>
      </c>
      <c r="B56" s="18">
        <f>(MAG_A*EXP(MAG_B*T_amb/(T_amb+MAG_C)))</f>
        <v/>
      </c>
      <c r="C56" s="4" t="inlineStr">
        <is>
          <t>kPa</t>
        </is>
      </c>
      <c r="D56" s="2" t="inlineStr">
        <is>
          <t>Magnus at 32 °C — doc 12 quotes 4.76</t>
        </is>
      </c>
    </row>
    <row r="57">
      <c r="A57" s="3" t="inlineStr">
        <is>
          <t>Ambient vapour pressure</t>
        </is>
      </c>
      <c r="B57" s="18">
        <f>RH_amb*PSAT_AMB</f>
        <v/>
      </c>
      <c r="C57" s="4" t="inlineStr">
        <is>
          <t>kPa</t>
        </is>
      </c>
      <c r="D57" s="2" t="inlineStr">
        <is>
          <t>Doc 12 quotes 3.81</t>
        </is>
      </c>
    </row>
    <row r="58">
      <c r="A58" s="3" t="inlineStr">
        <is>
          <t>Ambient humidity ratio</t>
        </is>
      </c>
      <c r="B58" s="18">
        <f>1000*RATIO_MW*PV_AMB/(P_atm-PV_AMB)</f>
        <v/>
      </c>
      <c r="C58" s="4" t="inlineStr">
        <is>
          <t>g/kg</t>
        </is>
      </c>
      <c r="D58" s="2" t="inlineStr">
        <is>
          <t>Doc 00/12 publish 24.2</t>
        </is>
      </c>
    </row>
    <row r="59">
      <c r="A59" s="3" t="inlineStr">
        <is>
          <t>Ambient ω on the doc-12 denominator</t>
        </is>
      </c>
      <c r="B59" s="18">
        <f>1000*RATIO_MW*PV_AMB/P_MOIST</f>
        <v/>
      </c>
      <c r="C59" s="4" t="inlineStr">
        <is>
          <t>g/kg</t>
        </is>
      </c>
      <c r="D59" s="2" t="inlineStr">
        <is>
          <t>The 0.622·3.81/97.5 form quoted in doc 12 §1</t>
        </is>
      </c>
    </row>
    <row r="60">
      <c r="A60" s="3" t="inlineStr">
        <is>
          <t>Ambient dew point</t>
        </is>
      </c>
      <c r="B60" s="18">
        <f>(MAG_C*LN((P_atm*W_AMB/1000/(RATIO_MW+W_AMB/1000))/MAG_A)/(MAG_B-LN((P_atm*W_AMB/1000/(RATIO_MW+W_AMB/1000))/MAG_A)))</f>
        <v/>
      </c>
      <c r="C60" s="4" t="inlineStr">
        <is>
          <t>°C</t>
        </is>
      </c>
      <c r="D60" s="2" t="inlineStr">
        <is>
          <t>Doc 00 publishes 28.1</t>
        </is>
      </c>
    </row>
    <row r="61">
      <c r="A61" s="3" t="inlineStr">
        <is>
          <t>Cabin ω, liquid target</t>
        </is>
      </c>
      <c r="B61" s="18">
        <f>1000*(RATIO_MW*RH_CAB_L*(MAG_A*EXP(MAG_B*T_CAB_L/(T_CAB_L+MAG_C)))/(P_atm-RH_CAB_L*(MAG_A*EXP(MAG_B*T_CAB_L/(T_CAB_L+MAG_C)))))</f>
        <v/>
      </c>
      <c r="C61" s="4" t="inlineStr">
        <is>
          <t>g/kg</t>
        </is>
      </c>
      <c r="D61" s="2" t="inlineStr">
        <is>
          <t>Doc 12 publishes 13.8</t>
        </is>
      </c>
    </row>
    <row r="62">
      <c r="A62" s="3" t="inlineStr">
        <is>
          <t>Saturation ω at the sink</t>
        </is>
      </c>
      <c r="B62" s="18">
        <f>1000*(RATIO_MW*(MAG_A*EXP(MAG_B*T_sink/(T_sink+MAG_C)))/(P_atm-(MAG_A*EXP(MAG_B*T_sink/(T_sink+MAG_C)))))</f>
        <v/>
      </c>
      <c r="C62" s="4" t="inlineStr">
        <is>
          <t>g/kg</t>
        </is>
      </c>
      <c r="D62" s="2" t="inlineStr">
        <is>
          <t>Doc 00 publishes 25.6 — the working-exhaust state</t>
        </is>
      </c>
    </row>
    <row r="63">
      <c r="A63" s="3" t="inlineStr">
        <is>
          <t>ERV pre-dried fresh air</t>
        </is>
      </c>
      <c r="B63" s="18">
        <f>W_AMB-EPS_LAT*(W_AMB-W_CAB_L)</f>
        <v/>
      </c>
      <c r="C63" s="4" t="inlineStr">
        <is>
          <t>g/kg</t>
        </is>
      </c>
      <c r="D63" s="2" t="inlineStr">
        <is>
          <t>Doc 12 publishes 15.9 at ε 0.8 — see Checks CHK-002</t>
        </is>
      </c>
    </row>
    <row r="64">
      <c r="A64" s="3" t="inlineStr">
        <is>
          <t>Fresh-air mass flow</t>
        </is>
      </c>
      <c r="B64" s="18">
        <f>V_FRESH*RHO_A</f>
        <v/>
      </c>
      <c r="C64" s="4" t="inlineStr">
        <is>
          <t>kg/h</t>
        </is>
      </c>
      <c r="D64" s="2" t="inlineStr">
        <is>
          <t>Doc 12 quotes ≈58 kg/h</t>
        </is>
      </c>
    </row>
    <row r="65">
      <c r="A65" s="3" t="inlineStr">
        <is>
          <t>Cabin latent gains</t>
        </is>
      </c>
      <c r="B65" s="18">
        <f>N_OCC*G_PERS</f>
        <v/>
      </c>
      <c r="C65" s="4" t="inlineStr">
        <is>
          <t>g/h</t>
        </is>
      </c>
      <c r="D65" s="2" t="inlineStr">
        <is>
          <t>Doc 12 quotes 280 g/h</t>
        </is>
      </c>
    </row>
  </sheetData>
  <mergeCells count="9">
    <mergeCell ref="A40:D40"/>
    <mergeCell ref="A2:E2"/>
    <mergeCell ref="A34:D34"/>
    <mergeCell ref="A4:D4"/>
    <mergeCell ref="A26:D26"/>
    <mergeCell ref="A21:D21"/>
    <mergeCell ref="A55:D55"/>
    <mergeCell ref="A1:E1"/>
    <mergeCell ref="A11:D11"/>
  </mergeCells>
  <printOptions horizontalCentered="1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M26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42" customWidth="1" min="4" max="4"/>
    <col width="10" customWidth="1" min="5" max="5"/>
    <col width="10" customWidth="1" min="6" max="6"/>
    <col width="9" customWidth="1" min="7" max="7"/>
    <col width="9" customWidth="1" min="8" max="8"/>
    <col width="14" customWidth="1" min="9" max="9"/>
    <col width="16" customWidth="1" min="10" max="10"/>
    <col width="10" customWidth="1" min="11" max="11"/>
    <col width="64" customWidth="1" min="12" max="12"/>
    <col width="14" customWidth="1" min="13" max="13"/>
  </cols>
  <sheetData>
    <row r="1" ht="22" customHeight="1">
      <c r="A1" s="1" t="inlineStr">
        <is>
          <t>Master parameter register</t>
        </is>
      </c>
    </row>
    <row r="2">
      <c r="A2" s="2" t="inlineStr">
        <is>
          <t>One row per published quantitative claim. Filter by track, category, grade, or gating test. Every row names its source — a row without a source does not belong here.</t>
        </is>
      </c>
    </row>
    <row r="3">
      <c r="A3" s="3" t="inlineStr">
        <is>
          <t>Rows: 265</t>
        </is>
      </c>
      <c r="C3" s="3">
        <f>CONCATENATE("PENDING a named test: ",COUNTIF(J5:J269,"PENDING*")," rows")</f>
        <v/>
      </c>
      <c r="D3" s="5" t="n"/>
      <c r="E3" s="6" t="n"/>
      <c r="F3" s="3">
        <f>CONCATENATE("Requirements: ",COUNTIF(J5:J269,"requirement")," rows")</f>
        <v/>
      </c>
      <c r="G3" s="5" t="n"/>
      <c r="H3" s="5" t="n"/>
      <c r="I3" s="6" t="n"/>
    </row>
    <row r="4" ht="30" customHeight="1">
      <c r="A4" s="15" t="inlineStr">
        <is>
          <t>ID</t>
        </is>
      </c>
      <c r="B4" s="15" t="inlineStr">
        <is>
          <t>Track</t>
        </is>
      </c>
      <c r="C4" s="15" t="inlineStr">
        <is>
          <t>Category</t>
        </is>
      </c>
      <c r="D4" s="15" t="inlineStr">
        <is>
          <t>Parameter</t>
        </is>
      </c>
      <c r="E4" s="15" t="inlineStr">
        <is>
          <t>Symbol</t>
        </is>
      </c>
      <c r="F4" s="15" t="inlineStr">
        <is>
          <t>Value</t>
        </is>
      </c>
      <c r="G4" s="15" t="inlineStr">
        <is>
          <t>Min</t>
        </is>
      </c>
      <c r="H4" s="15" t="inlineStr">
        <is>
          <t>Max</t>
        </is>
      </c>
      <c r="I4" s="15" t="inlineStr">
        <is>
          <t>Unit</t>
        </is>
      </c>
      <c r="J4" s="15" t="inlineStr">
        <is>
          <t>Confidence</t>
        </is>
      </c>
      <c r="K4" s="15" t="inlineStr">
        <is>
          <t>Gate</t>
        </is>
      </c>
      <c r="L4" s="15" t="inlineStr">
        <is>
          <t>Basis / derivation</t>
        </is>
      </c>
      <c r="M4" s="15" t="inlineStr">
        <is>
          <t>Source</t>
        </is>
      </c>
    </row>
    <row r="5">
      <c r="A5" s="3" t="inlineStr">
        <is>
          <t>DP-001</t>
        </is>
      </c>
      <c r="B5" s="4" t="inlineStr">
        <is>
          <t>Shared</t>
        </is>
      </c>
      <c r="C5" s="4" t="inlineStr">
        <is>
          <t>Design point</t>
        </is>
      </c>
      <c r="D5" s="4" t="inlineStr">
        <is>
          <t>Ambient dry-bulb (DP-A)</t>
        </is>
      </c>
      <c r="E5" s="4" t="inlineStr">
        <is>
          <t>T_amb</t>
        </is>
      </c>
      <c r="F5" s="17" t="n">
        <v>32</v>
      </c>
      <c r="G5" s="17" t="n"/>
      <c r="H5" s="17" t="n"/>
      <c r="I5" s="4" t="inlineStr">
        <is>
          <t>°C</t>
        </is>
      </c>
      <c r="J5" s="4" t="inlineStr">
        <is>
          <t>governing</t>
        </is>
      </c>
      <c r="K5" s="4" t="inlineStr"/>
      <c r="L5" s="4" t="inlineStr">
        <is>
          <t>Sole continuous-duty maximum rating point for every mode</t>
        </is>
      </c>
      <c r="M5" s="4" t="inlineStr">
        <is>
          <t>00 §2</t>
        </is>
      </c>
    </row>
    <row r="6">
      <c r="A6" s="3" t="inlineStr">
        <is>
          <t>DP-002</t>
        </is>
      </c>
      <c r="B6" s="4" t="inlineStr">
        <is>
          <t>Shared</t>
        </is>
      </c>
      <c r="C6" s="4" t="inlineStr">
        <is>
          <t>Design point</t>
        </is>
      </c>
      <c r="D6" s="4" t="inlineStr">
        <is>
          <t>Ambient relative humidity (DP-A)</t>
        </is>
      </c>
      <c r="E6" s="4" t="inlineStr">
        <is>
          <t>RH_amb</t>
        </is>
      </c>
      <c r="F6" s="17" t="n">
        <v>80</v>
      </c>
      <c r="G6" s="17" t="n"/>
      <c r="H6" s="17" t="n"/>
      <c r="I6" s="4" t="inlineStr">
        <is>
          <t>%</t>
        </is>
      </c>
      <c r="J6" s="4" t="inlineStr">
        <is>
          <t>governing</t>
        </is>
      </c>
      <c r="K6" s="4" t="inlineStr"/>
      <c r="L6" s="4" t="inlineStr"/>
      <c r="M6" s="4" t="inlineStr">
        <is>
          <t>00 §2</t>
        </is>
      </c>
    </row>
    <row r="7">
      <c r="A7" s="3" t="inlineStr">
        <is>
          <t>DP-003</t>
        </is>
      </c>
      <c r="B7" s="4" t="inlineStr">
        <is>
          <t>Shared</t>
        </is>
      </c>
      <c r="C7" s="4" t="inlineStr">
        <is>
          <t>Design point</t>
        </is>
      </c>
      <c r="D7" s="4" t="inlineStr">
        <is>
          <t>Ambient humidity ratio</t>
        </is>
      </c>
      <c r="E7" s="4" t="inlineStr">
        <is>
          <t>ω_amb</t>
        </is>
      </c>
      <c r="F7" s="17" t="n">
        <v>24.2</v>
      </c>
      <c r="G7" s="17" t="n"/>
      <c r="H7" s="17" t="n"/>
      <c r="I7" s="4" t="inlineStr">
        <is>
          <t>g/kg</t>
        </is>
      </c>
      <c r="J7" s="4" t="inlineStr">
        <is>
          <t>governing</t>
        </is>
      </c>
      <c r="K7" s="4" t="inlineStr"/>
      <c r="L7" s="4" t="inlineStr">
        <is>
          <t>Psat 4.76 kPa → Pv 3.81 → 0.622·3.81/97.5</t>
        </is>
      </c>
      <c r="M7" s="4" t="inlineStr">
        <is>
          <t>12 §1</t>
        </is>
      </c>
    </row>
    <row r="8">
      <c r="A8" s="3" t="inlineStr">
        <is>
          <t>DP-004</t>
        </is>
      </c>
      <c r="B8" s="4" t="inlineStr">
        <is>
          <t>Shared</t>
        </is>
      </c>
      <c r="C8" s="4" t="inlineStr">
        <is>
          <t>Design point</t>
        </is>
      </c>
      <c r="D8" s="4" t="inlineStr">
        <is>
          <t>Ambient dew point</t>
        </is>
      </c>
      <c r="E8" s="4" t="inlineStr">
        <is>
          <t>T_dp</t>
        </is>
      </c>
      <c r="F8" s="17" t="n">
        <v>28.1</v>
      </c>
      <c r="G8" s="17" t="n"/>
      <c r="H8" s="17" t="n"/>
      <c r="I8" s="4" t="inlineStr">
        <is>
          <t>°C</t>
        </is>
      </c>
      <c r="J8" s="4" t="inlineStr">
        <is>
          <t>governing</t>
        </is>
      </c>
      <c r="K8" s="4" t="inlineStr"/>
      <c r="L8" s="4" t="inlineStr">
        <is>
          <t>Sits at/above every ambient sink — the floor a desiccant breaks</t>
        </is>
      </c>
      <c r="M8" s="4" t="inlineStr">
        <is>
          <t>00 §2</t>
        </is>
      </c>
    </row>
    <row r="9">
      <c r="A9" s="3" t="inlineStr">
        <is>
          <t>DP-005</t>
        </is>
      </c>
      <c r="B9" s="4" t="inlineStr">
        <is>
          <t>Shared</t>
        </is>
      </c>
      <c r="C9" s="4" t="inlineStr">
        <is>
          <t>Design point</t>
        </is>
      </c>
      <c r="D9" s="4" t="inlineStr">
        <is>
          <t>Ambient wet-bulb</t>
        </is>
      </c>
      <c r="E9" s="4" t="inlineStr">
        <is>
          <t>T_wb</t>
        </is>
      </c>
      <c r="F9" s="17" t="n">
        <v>29.5</v>
      </c>
      <c r="G9" s="17" t="n"/>
      <c r="H9" s="17" t="n"/>
      <c r="I9" s="4" t="inlineStr">
        <is>
          <t>°C</t>
        </is>
      </c>
      <c r="J9" s="4" t="inlineStr">
        <is>
          <t>sizing-grade</t>
        </is>
      </c>
      <c r="K9" s="4" t="inlineStr"/>
      <c r="L9" s="4" t="inlineStr"/>
      <c r="M9" s="4" t="inlineStr">
        <is>
          <t>20 §1</t>
        </is>
      </c>
    </row>
    <row r="10">
      <c r="A10" s="3" t="inlineStr">
        <is>
          <t>DP-006</t>
        </is>
      </c>
      <c r="B10" s="4" t="inlineStr">
        <is>
          <t>Shared</t>
        </is>
      </c>
      <c r="C10" s="4" t="inlineStr">
        <is>
          <t>Design point</t>
        </is>
      </c>
      <c r="D10" s="4" t="inlineStr">
        <is>
          <t>Raw-water sink temperature</t>
        </is>
      </c>
      <c r="E10" s="4" t="inlineStr">
        <is>
          <t>T_sink</t>
        </is>
      </c>
      <c r="F10" s="17" t="n">
        <v>29</v>
      </c>
      <c r="G10" s="17" t="n"/>
      <c r="H10" s="17" t="n"/>
      <c r="I10" s="4" t="inlineStr">
        <is>
          <t>°C</t>
        </is>
      </c>
      <c r="J10" s="4" t="inlineStr">
        <is>
          <t>governing</t>
        </is>
      </c>
      <c r="K10" s="4" t="inlineStr"/>
      <c r="L10" s="4" t="inlineStr">
        <is>
          <t>Tropical surface/mixed layer; land sinks often cooler = margin</t>
        </is>
      </c>
      <c r="M10" s="4" t="inlineStr">
        <is>
          <t>00 §1</t>
        </is>
      </c>
    </row>
    <row r="11">
      <c r="A11" s="3" t="inlineStr">
        <is>
          <t>DP-007</t>
        </is>
      </c>
      <c r="B11" s="4" t="inlineStr">
        <is>
          <t>Shared</t>
        </is>
      </c>
      <c r="C11" s="4" t="inlineStr">
        <is>
          <t>Design point</t>
        </is>
      </c>
      <c r="D11" s="4" t="inlineStr">
        <is>
          <t>Atmospheric pressure</t>
        </is>
      </c>
      <c r="E11" s="4" t="inlineStr">
        <is>
          <t>P_atm</t>
        </is>
      </c>
      <c r="F11" s="17" t="n">
        <v>101.325</v>
      </c>
      <c r="G11" s="17" t="n"/>
      <c r="H11" s="17" t="n"/>
      <c r="I11" s="4" t="inlineStr">
        <is>
          <t>kPa</t>
        </is>
      </c>
      <c r="J11" s="4" t="inlineStr">
        <is>
          <t>reference</t>
        </is>
      </c>
      <c r="K11" s="4" t="inlineStr"/>
      <c r="L11" s="4" t="inlineStr">
        <is>
          <t>Magnus basis for all ω conversions</t>
        </is>
      </c>
      <c r="M11" s="4" t="inlineStr">
        <is>
          <t>00 §2</t>
        </is>
      </c>
    </row>
    <row r="12">
      <c r="A12" s="3" t="inlineStr">
        <is>
          <t>DP-008</t>
        </is>
      </c>
      <c r="B12" s="4" t="inlineStr">
        <is>
          <t>Shared</t>
        </is>
      </c>
      <c r="C12" s="4" t="inlineStr">
        <is>
          <t>Design point</t>
        </is>
      </c>
      <c r="D12" s="4" t="inlineStr">
        <is>
          <t>Conditioned volume (reference)</t>
        </is>
      </c>
      <c r="E12" s="4" t="inlineStr">
        <is>
          <t>V_cab</t>
        </is>
      </c>
      <c r="F12" s="17" t="n">
        <v>100</v>
      </c>
      <c r="G12" s="17" t="n"/>
      <c r="H12" s="17" t="n"/>
      <c r="I12" s="4" t="inlineStr">
        <is>
          <t>m³</t>
        </is>
      </c>
      <c r="J12" s="4" t="inlineStr">
        <is>
          <t>platform</t>
        </is>
      </c>
      <c r="K12" s="4" t="inlineStr"/>
      <c r="L12" s="4" t="inlineStr">
        <is>
          <t>Yacht interior / small dwelling / cabin / shelter</t>
        </is>
      </c>
      <c r="M12" s="4" t="inlineStr">
        <is>
          <t>20 §1</t>
        </is>
      </c>
    </row>
    <row r="13">
      <c r="A13" s="3" t="inlineStr">
        <is>
          <t>DP-009</t>
        </is>
      </c>
      <c r="B13" s="4" t="inlineStr">
        <is>
          <t>Shared</t>
        </is>
      </c>
      <c r="C13" s="4" t="inlineStr">
        <is>
          <t>Design point</t>
        </is>
      </c>
      <c r="D13" s="4" t="inlineStr">
        <is>
          <t>Occupants (reference)</t>
        </is>
      </c>
      <c r="E13" s="4" t="inlineStr">
        <is>
          <t>n</t>
        </is>
      </c>
      <c r="F13" s="17" t="n">
        <v>4</v>
      </c>
      <c r="G13" s="17" t="n"/>
      <c r="H13" s="17" t="n"/>
      <c r="I13" s="4" t="inlineStr">
        <is>
          <t>person</t>
        </is>
      </c>
      <c r="J13" s="4" t="inlineStr">
        <is>
          <t>platform</t>
        </is>
      </c>
      <c r="K13" s="4" t="inlineStr"/>
      <c r="L13" s="4" t="inlineStr"/>
      <c r="M13" s="4" t="inlineStr">
        <is>
          <t>20 §1</t>
        </is>
      </c>
    </row>
    <row r="14">
      <c r="A14" s="3" t="inlineStr">
        <is>
          <t>DP-010</t>
        </is>
      </c>
      <c r="B14" s="4" t="inlineStr">
        <is>
          <t>Shared</t>
        </is>
      </c>
      <c r="C14" s="4" t="inlineStr">
        <is>
          <t>Design point</t>
        </is>
      </c>
      <c r="D14" s="4" t="inlineStr">
        <is>
          <t>Retired secondary design point</t>
        </is>
      </c>
      <c r="E14" s="4" t="inlineStr">
        <is>
          <t>—</t>
        </is>
      </c>
      <c r="F14" s="17" t="n"/>
      <c r="G14" s="17" t="n">
        <v>30</v>
      </c>
      <c r="H14" s="17" t="n">
        <v>75</v>
      </c>
      <c r="I14" s="4" t="inlineStr">
        <is>
          <t>°C / %</t>
        </is>
      </c>
      <c r="J14" s="4" t="inlineStr">
        <is>
          <t>historical</t>
        </is>
      </c>
      <c r="K14" s="4" t="inlineStr"/>
      <c r="L14" s="4" t="inlineStr">
        <is>
          <t>Retired; numbers derived from it survive only in archived docs</t>
        </is>
      </c>
      <c r="M14" s="4" t="inlineStr">
        <is>
          <t>00 §2</t>
        </is>
      </c>
    </row>
    <row r="15">
      <c r="A15" s="3" t="inlineStr">
        <is>
          <t>DP-011</t>
        </is>
      </c>
      <c r="B15" s="4" t="inlineStr">
        <is>
          <t>Shared</t>
        </is>
      </c>
      <c r="C15" s="4" t="inlineStr">
        <is>
          <t>Psychrometrics</t>
        </is>
      </c>
      <c r="D15" s="4" t="inlineStr">
        <is>
          <t>Saturation humidity ratio at 26 °C</t>
        </is>
      </c>
      <c r="E15" s="4" t="inlineStr">
        <is>
          <t>ω_sat</t>
        </is>
      </c>
      <c r="F15" s="17" t="n">
        <v>21.3</v>
      </c>
      <c r="G15" s="17" t="n"/>
      <c r="H15" s="17" t="n"/>
      <c r="I15" s="4" t="inlineStr">
        <is>
          <t>g/kg</t>
        </is>
      </c>
      <c r="J15" s="4" t="inlineStr">
        <is>
          <t>reference</t>
        </is>
      </c>
      <c r="K15" s="4" t="inlineStr"/>
      <c r="L15" s="4" t="inlineStr">
        <is>
          <t>Magnus, 101.325 kPa</t>
        </is>
      </c>
      <c r="M15" s="4" t="inlineStr">
        <is>
          <t>00 §2</t>
        </is>
      </c>
    </row>
    <row r="16">
      <c r="A16" s="3" t="inlineStr">
        <is>
          <t>DP-012</t>
        </is>
      </c>
      <c r="B16" s="4" t="inlineStr">
        <is>
          <t>Shared</t>
        </is>
      </c>
      <c r="C16" s="4" t="inlineStr">
        <is>
          <t>Psychrometrics</t>
        </is>
      </c>
      <c r="D16" s="4" t="inlineStr">
        <is>
          <t>Saturation humidity ratio at 27 °C</t>
        </is>
      </c>
      <c r="E16" s="4" t="inlineStr">
        <is>
          <t>ω_sat</t>
        </is>
      </c>
      <c r="F16" s="17" t="n">
        <v>22.6</v>
      </c>
      <c r="G16" s="17" t="n"/>
      <c r="H16" s="17" t="n"/>
      <c r="I16" s="4" t="inlineStr">
        <is>
          <t>g/kg</t>
        </is>
      </c>
      <c r="J16" s="4" t="inlineStr">
        <is>
          <t>reference</t>
        </is>
      </c>
      <c r="K16" s="4" t="inlineStr"/>
      <c r="L16" s="4" t="inlineStr"/>
      <c r="M16" s="4" t="inlineStr">
        <is>
          <t>00 §2</t>
        </is>
      </c>
    </row>
    <row r="17">
      <c r="A17" s="3" t="inlineStr">
        <is>
          <t>DP-013</t>
        </is>
      </c>
      <c r="B17" s="4" t="inlineStr">
        <is>
          <t>Shared</t>
        </is>
      </c>
      <c r="C17" s="4" t="inlineStr">
        <is>
          <t>Psychrometrics</t>
        </is>
      </c>
      <c r="D17" s="4" t="inlineStr">
        <is>
          <t>Saturation humidity ratio at 28 °C</t>
        </is>
      </c>
      <c r="E17" s="4" t="inlineStr">
        <is>
          <t>ω_sat</t>
        </is>
      </c>
      <c r="F17" s="17" t="n">
        <v>24.1</v>
      </c>
      <c r="G17" s="17" t="n"/>
      <c r="H17" s="17" t="n"/>
      <c r="I17" s="4" t="inlineStr">
        <is>
          <t>g/kg</t>
        </is>
      </c>
      <c r="J17" s="4" t="inlineStr">
        <is>
          <t>reference</t>
        </is>
      </c>
      <c r="K17" s="4" t="inlineStr"/>
      <c r="L17" s="4" t="inlineStr"/>
      <c r="M17" s="4" t="inlineStr">
        <is>
          <t>00 §2</t>
        </is>
      </c>
    </row>
    <row r="18">
      <c r="A18" s="3" t="inlineStr">
        <is>
          <t>DP-014</t>
        </is>
      </c>
      <c r="B18" s="4" t="inlineStr">
        <is>
          <t>Shared</t>
        </is>
      </c>
      <c r="C18" s="4" t="inlineStr">
        <is>
          <t>Psychrometrics</t>
        </is>
      </c>
      <c r="D18" s="4" t="inlineStr">
        <is>
          <t>Saturation humidity ratio at 29 °C</t>
        </is>
      </c>
      <c r="E18" s="4" t="inlineStr">
        <is>
          <t>ω_sat</t>
        </is>
      </c>
      <c r="F18" s="17" t="n">
        <v>25.6</v>
      </c>
      <c r="G18" s="17" t="n"/>
      <c r="H18" s="17" t="n"/>
      <c r="I18" s="4" t="inlineStr">
        <is>
          <t>g/kg</t>
        </is>
      </c>
      <c r="J18" s="4" t="inlineStr">
        <is>
          <t>reference</t>
        </is>
      </c>
      <c r="K18" s="4" t="inlineStr"/>
      <c r="L18" s="4" t="inlineStr">
        <is>
          <t>Working-air exhaust state in the solid balance</t>
        </is>
      </c>
      <c r="M18" s="4" t="inlineStr">
        <is>
          <t>00 §2</t>
        </is>
      </c>
    </row>
    <row r="19">
      <c r="A19" s="3" t="inlineStr">
        <is>
          <t>DP-015</t>
        </is>
      </c>
      <c r="B19" s="4" t="inlineStr">
        <is>
          <t>Shared</t>
        </is>
      </c>
      <c r="C19" s="4" t="inlineStr">
        <is>
          <t>Psychrometrics</t>
        </is>
      </c>
      <c r="D19" s="4" t="inlineStr">
        <is>
          <t>Saturation humidity ratio at 30 °C</t>
        </is>
      </c>
      <c r="E19" s="4" t="inlineStr">
        <is>
          <t>ω_sat</t>
        </is>
      </c>
      <c r="F19" s="17" t="n">
        <v>27.1</v>
      </c>
      <c r="G19" s="17" t="n"/>
      <c r="H19" s="17" t="n"/>
      <c r="I19" s="4" t="inlineStr">
        <is>
          <t>g/kg</t>
        </is>
      </c>
      <c r="J19" s="4" t="inlineStr">
        <is>
          <t>reference</t>
        </is>
      </c>
      <c r="K19" s="4" t="inlineStr"/>
      <c r="L19" s="4" t="inlineStr"/>
      <c r="M19" s="4" t="inlineStr">
        <is>
          <t>00 §2</t>
        </is>
      </c>
    </row>
    <row r="20">
      <c r="A20" s="3" t="inlineStr">
        <is>
          <t>DP-016</t>
        </is>
      </c>
      <c r="B20" s="4" t="inlineStr">
        <is>
          <t>Shared</t>
        </is>
      </c>
      <c r="C20" s="4" t="inlineStr">
        <is>
          <t>Loads</t>
        </is>
      </c>
      <c r="D20" s="4" t="inlineStr">
        <is>
          <t>Occupant latent generation (average)</t>
        </is>
      </c>
      <c r="E20" s="4" t="inlineStr">
        <is>
          <t>m_lat</t>
        </is>
      </c>
      <c r="F20" s="17" t="n">
        <v>70</v>
      </c>
      <c r="G20" s="17" t="n">
        <v>50</v>
      </c>
      <c r="H20" s="17" t="n">
        <v>90</v>
      </c>
      <c r="I20" s="4" t="inlineStr">
        <is>
          <t>g/h·person</t>
        </is>
      </c>
      <c r="J20" s="4" t="inlineStr">
        <is>
          <t>sizing-grade</t>
        </is>
      </c>
      <c r="K20" s="4" t="inlineStr"/>
      <c r="L20" s="4" t="inlineStr">
        <is>
          <t>50 sleeping / 90 active; ±30% on load</t>
        </is>
      </c>
      <c r="M20" s="4" t="inlineStr">
        <is>
          <t>10 §1; 12 §3</t>
        </is>
      </c>
    </row>
    <row r="21">
      <c r="A21" s="3" t="inlineStr">
        <is>
          <t>DP-017</t>
        </is>
      </c>
      <c r="B21" s="4" t="inlineStr">
        <is>
          <t>Shared</t>
        </is>
      </c>
      <c r="C21" s="4" t="inlineStr">
        <is>
          <t>Loads</t>
        </is>
      </c>
      <c r="D21" s="4" t="inlineStr">
        <is>
          <t>Cabin latent gains, 4 adults</t>
        </is>
      </c>
      <c r="E21" s="4" t="inlineStr">
        <is>
          <t>G_lat</t>
        </is>
      </c>
      <c r="F21" s="17" t="n">
        <v>280</v>
      </c>
      <c r="G21" s="17" t="n"/>
      <c r="H21" s="17" t="n"/>
      <c r="I21" s="4" t="inlineStr">
        <is>
          <t>g/h</t>
        </is>
      </c>
      <c r="J21" s="4" t="inlineStr">
        <is>
          <t>sizing-grade</t>
        </is>
      </c>
      <c r="K21" s="4" t="inlineStr"/>
      <c r="L21" s="4" t="inlineStr">
        <is>
          <t>4 × 70 g/h·person</t>
        </is>
      </c>
      <c r="M21" s="4" t="inlineStr">
        <is>
          <t>12 §1</t>
        </is>
      </c>
    </row>
    <row r="22">
      <c r="A22" s="3" t="inlineStr">
        <is>
          <t>DP-018</t>
        </is>
      </c>
      <c r="B22" s="4" t="inlineStr">
        <is>
          <t>Solid</t>
        </is>
      </c>
      <c r="C22" s="4" t="inlineStr">
        <is>
          <t>Loads</t>
        </is>
      </c>
      <c r="D22" s="4" t="inlineStr">
        <is>
          <t>Peak sensible load (solar noon)</t>
        </is>
      </c>
      <c r="E22" s="4" t="inlineStr">
        <is>
          <t>Q_sens</t>
        </is>
      </c>
      <c r="F22" s="17" t="n">
        <v>3.5</v>
      </c>
      <c r="G22" s="17" t="n"/>
      <c r="H22" s="17" t="n"/>
      <c r="I22" s="4" t="inlineStr">
        <is>
          <t>kW</t>
        </is>
      </c>
      <c r="J22" s="4" t="inlineStr">
        <is>
          <t>sizing-grade</t>
        </is>
      </c>
      <c r="K22" s="4" t="inlineStr"/>
      <c r="L22" s="4" t="inlineStr">
        <is>
          <t>~100 m³ envelope at DP-A</t>
        </is>
      </c>
      <c r="M22" s="4" t="inlineStr">
        <is>
          <t>20 §1</t>
        </is>
      </c>
    </row>
    <row r="23">
      <c r="A23" s="3" t="inlineStr">
        <is>
          <t>DP-019</t>
        </is>
      </c>
      <c r="B23" s="4" t="inlineStr">
        <is>
          <t>Solid</t>
        </is>
      </c>
      <c r="C23" s="4" t="inlineStr">
        <is>
          <t>Loads</t>
        </is>
      </c>
      <c r="D23" s="4" t="inlineStr">
        <is>
          <t>Envelope + occupant latent</t>
        </is>
      </c>
      <c r="E23" s="4" t="inlineStr">
        <is>
          <t>G_lat</t>
        </is>
      </c>
      <c r="F23" s="17" t="n">
        <v>2</v>
      </c>
      <c r="G23" s="17" t="n">
        <v>1.8</v>
      </c>
      <c r="H23" s="17" t="n">
        <v>2.8</v>
      </c>
      <c r="I23" s="4" t="inlineStr">
        <is>
          <t>kg/h</t>
        </is>
      </c>
      <c r="J23" s="4" t="inlineStr">
        <is>
          <t>sizing-grade</t>
        </is>
      </c>
      <c r="K23" s="4" t="inlineStr"/>
      <c r="L23" s="4" t="inlineStr">
        <is>
          <t>Central 2.0; the naive (and wrong) sizing basis — see F1</t>
        </is>
      </c>
      <c r="M23" s="4" t="inlineStr">
        <is>
          <t>20 §1</t>
        </is>
      </c>
    </row>
    <row r="24">
      <c r="A24" s="3" t="inlineStr">
        <is>
          <t>DP-020</t>
        </is>
      </c>
      <c r="B24" s="4" t="inlineStr">
        <is>
          <t>Shared</t>
        </is>
      </c>
      <c r="C24" s="4" t="inlineStr">
        <is>
          <t>Loads</t>
        </is>
      </c>
      <c r="D24" s="4" t="inlineStr">
        <is>
          <t>Infiltration, unattended</t>
        </is>
      </c>
      <c r="E24" s="4" t="inlineStr">
        <is>
          <t>ACH</t>
        </is>
      </c>
      <c r="F24" s="17" t="n">
        <v>0.1</v>
      </c>
      <c r="G24" s="17" t="n">
        <v>0.05</v>
      </c>
      <c r="H24" s="17" t="n">
        <v>0.15</v>
      </c>
      <c r="I24" s="4" t="inlineStr">
        <is>
          <t>1/h</t>
        </is>
      </c>
      <c r="J24" s="4" t="inlineStr">
        <is>
          <t>sizing-grade</t>
        </is>
      </c>
      <c r="K24" s="4" t="inlineStr"/>
      <c r="L24" s="4" t="inlineStr">
        <is>
          <t>One vs two contactors turns on this band</t>
        </is>
      </c>
      <c r="M24" s="4" t="inlineStr">
        <is>
          <t>12 §3</t>
        </is>
      </c>
    </row>
    <row r="25">
      <c r="A25" s="3" t="inlineStr">
        <is>
          <t>DP-021</t>
        </is>
      </c>
      <c r="B25" s="4" t="inlineStr">
        <is>
          <t>Liquid</t>
        </is>
      </c>
      <c r="C25" s="4" t="inlineStr">
        <is>
          <t>Comfort</t>
        </is>
      </c>
      <c r="D25" s="4" t="inlineStr">
        <is>
          <t>Comfort target, liquid track</t>
        </is>
      </c>
      <c r="E25" s="4" t="inlineStr">
        <is>
          <t>T/RH</t>
        </is>
      </c>
      <c r="F25" s="17" t="n">
        <v>29</v>
      </c>
      <c r="G25" s="17" t="n"/>
      <c r="H25" s="17" t="n"/>
      <c r="I25" s="4" t="inlineStr">
        <is>
          <t>°C</t>
        </is>
      </c>
      <c r="J25" s="4" t="inlineStr">
        <is>
          <t>requirement</t>
        </is>
      </c>
      <c r="K25" s="4" t="inlineStr"/>
      <c r="L25" s="4" t="inlineStr">
        <is>
          <t>29 °C / 55% RH → ω 13.8 g/kg</t>
        </is>
      </c>
      <c r="M25" s="4" t="inlineStr">
        <is>
          <t>10 §1</t>
        </is>
      </c>
    </row>
    <row r="26">
      <c r="A26" s="3" t="inlineStr">
        <is>
          <t>DP-022</t>
        </is>
      </c>
      <c r="B26" s="4" t="inlineStr">
        <is>
          <t>Liquid</t>
        </is>
      </c>
      <c r="C26" s="4" t="inlineStr">
        <is>
          <t>Comfort</t>
        </is>
      </c>
      <c r="D26" s="4" t="inlineStr">
        <is>
          <t>Comfort target humidity ratio</t>
        </is>
      </c>
      <c r="E26" s="4" t="inlineStr">
        <is>
          <t>ω_cab</t>
        </is>
      </c>
      <c r="F26" s="17" t="n">
        <v>13.8</v>
      </c>
      <c r="G26" s="17" t="n"/>
      <c r="H26" s="17" t="n"/>
      <c r="I26" s="4" t="inlineStr">
        <is>
          <t>g/kg</t>
        </is>
      </c>
      <c r="J26" s="4" t="inlineStr">
        <is>
          <t>requirement</t>
        </is>
      </c>
      <c r="K26" s="4" t="inlineStr"/>
      <c r="L26" s="4" t="inlineStr">
        <is>
          <t>Psat 4.01 → Pv 2.20 at 29 °C / 55%</t>
        </is>
      </c>
      <c r="M26" s="4" t="inlineStr">
        <is>
          <t>12 §1</t>
        </is>
      </c>
    </row>
    <row r="27">
      <c r="A27" s="3" t="inlineStr">
        <is>
          <t>DP-023</t>
        </is>
      </c>
      <c r="B27" s="4" t="inlineStr">
        <is>
          <t>Solid</t>
        </is>
      </c>
      <c r="C27" s="4" t="inlineStr">
        <is>
          <t>Comfort</t>
        </is>
      </c>
      <c r="D27" s="4" t="inlineStr">
        <is>
          <t>Comfort target, solid track</t>
        </is>
      </c>
      <c r="E27" s="4" t="inlineStr">
        <is>
          <t>T</t>
        </is>
      </c>
      <c r="F27" s="17" t="n">
        <v>25</v>
      </c>
      <c r="G27" s="17" t="n"/>
      <c r="H27" s="17" t="n"/>
      <c r="I27" s="4" t="inlineStr">
        <is>
          <t>°C</t>
        </is>
      </c>
      <c r="J27" s="4" t="inlineStr">
        <is>
          <t>requirement</t>
        </is>
      </c>
      <c r="K27" s="4" t="inlineStr"/>
      <c r="L27" s="4" t="inlineStr">
        <is>
          <t>~40–55% RH</t>
        </is>
      </c>
      <c r="M27" s="4" t="inlineStr">
        <is>
          <t>20 §1</t>
        </is>
      </c>
    </row>
    <row r="28">
      <c r="A28" s="3" t="inlineStr">
        <is>
          <t>DP-024</t>
        </is>
      </c>
      <c r="B28" s="4" t="inlineStr">
        <is>
          <t>Solid</t>
        </is>
      </c>
      <c r="C28" s="4" t="inlineStr">
        <is>
          <t>Comfort</t>
        </is>
      </c>
      <c r="D28" s="4" t="inlineStr">
        <is>
          <t>Cabin steady state, solid track</t>
        </is>
      </c>
      <c r="E28" s="4" t="inlineStr">
        <is>
          <t>ω_cab</t>
        </is>
      </c>
      <c r="F28" s="17" t="n">
        <v>9.1</v>
      </c>
      <c r="G28" s="17" t="n"/>
      <c r="H28" s="17" t="n"/>
      <c r="I28" s="4" t="inlineStr">
        <is>
          <t>g/kg</t>
        </is>
      </c>
      <c r="J28" s="4" t="inlineStr">
        <is>
          <t>sizing-grade</t>
        </is>
      </c>
      <c r="K28" s="4" t="inlineStr">
        <is>
          <t>T2</t>
        </is>
      </c>
      <c r="L28" s="4" t="inlineStr">
        <is>
          <t>~40% RH — drier than target; headroom for a warmer setpoint</t>
        </is>
      </c>
      <c r="M28" s="4" t="inlineStr">
        <is>
          <t>20 §5</t>
        </is>
      </c>
    </row>
    <row r="29">
      <c r="A29" s="3" t="inlineStr">
        <is>
          <t>LQ-001</t>
        </is>
      </c>
      <c r="B29" s="4" t="inlineStr">
        <is>
          <t>Liquid</t>
        </is>
      </c>
      <c r="C29" s="4" t="inlineStr">
        <is>
          <t>Brine</t>
        </is>
      </c>
      <c r="D29" s="4" t="inlineStr">
        <is>
          <t>Working concentration, strong</t>
        </is>
      </c>
      <c r="E29" s="4" t="inlineStr">
        <is>
          <t>c_hi</t>
        </is>
      </c>
      <c r="F29" s="17" t="n">
        <v>40</v>
      </c>
      <c r="G29" s="17" t="n"/>
      <c r="H29" s="17" t="n"/>
      <c r="I29" s="4" t="inlineStr">
        <is>
          <t>wt%</t>
        </is>
      </c>
      <c r="J29" s="4" t="inlineStr">
        <is>
          <t>sizing-grade</t>
        </is>
      </c>
      <c r="K29" s="4" t="inlineStr">
        <is>
          <t>A</t>
        </is>
      </c>
      <c r="L29" s="4" t="inlineStr">
        <is>
          <t>Water activity aw ≈ 0.45</t>
        </is>
      </c>
      <c r="M29" s="4" t="inlineStr">
        <is>
          <t>10 §2</t>
        </is>
      </c>
    </row>
    <row r="30">
      <c r="A30" s="3" t="inlineStr">
        <is>
          <t>LQ-002</t>
        </is>
      </c>
      <c r="B30" s="4" t="inlineStr">
        <is>
          <t>Liquid</t>
        </is>
      </c>
      <c r="C30" s="4" t="inlineStr">
        <is>
          <t>Brine</t>
        </is>
      </c>
      <c r="D30" s="4" t="inlineStr">
        <is>
          <t>Working concentration, dilute</t>
        </is>
      </c>
      <c r="E30" s="4" t="inlineStr">
        <is>
          <t>c_lo</t>
        </is>
      </c>
      <c r="F30" s="17" t="n">
        <v>35</v>
      </c>
      <c r="G30" s="17" t="n"/>
      <c r="H30" s="17" t="n"/>
      <c r="I30" s="4" t="inlineStr">
        <is>
          <t>wt%</t>
        </is>
      </c>
      <c r="J30" s="4" t="inlineStr">
        <is>
          <t>sizing-grade</t>
        </is>
      </c>
      <c r="K30" s="4" t="inlineStr">
        <is>
          <t>A</t>
        </is>
      </c>
      <c r="L30" s="4" t="inlineStr"/>
      <c r="M30" s="4" t="inlineStr">
        <is>
          <t>10 §2</t>
        </is>
      </c>
    </row>
    <row r="31">
      <c r="A31" s="3" t="inlineStr">
        <is>
          <t>LQ-003</t>
        </is>
      </c>
      <c r="B31" s="4" t="inlineStr">
        <is>
          <t>Liquid</t>
        </is>
      </c>
      <c r="C31" s="4" t="inlineStr">
        <is>
          <t>Brine</t>
        </is>
      </c>
      <c r="D31" s="4" t="inlineStr">
        <is>
          <t>Water activity, 40 wt%</t>
        </is>
      </c>
      <c r="E31" s="4" t="inlineStr">
        <is>
          <t>aw</t>
        </is>
      </c>
      <c r="F31" s="17" t="n">
        <v>0.45</v>
      </c>
      <c r="G31" s="17" t="n"/>
      <c r="H31" s="17" t="n"/>
      <c r="I31" s="4" t="inlineStr">
        <is>
          <t>—</t>
        </is>
      </c>
      <c r="J31" s="4" t="inlineStr">
        <is>
          <t>PENDING A</t>
        </is>
      </c>
      <c r="K31" s="4" t="inlineStr">
        <is>
          <t>A</t>
        </is>
      </c>
      <c r="L31" s="4" t="inlineStr">
        <is>
          <t>Published data ±0.05 aw — the largest single unknown</t>
        </is>
      </c>
      <c r="M31" s="4" t="inlineStr">
        <is>
          <t>12 §3</t>
        </is>
      </c>
    </row>
    <row r="32">
      <c r="A32" s="3" t="inlineStr">
        <is>
          <t>LQ-004</t>
        </is>
      </c>
      <c r="B32" s="4" t="inlineStr">
        <is>
          <t>Liquid</t>
        </is>
      </c>
      <c r="C32" s="4" t="inlineStr">
        <is>
          <t>Brine</t>
        </is>
      </c>
      <c r="D32" s="4" t="inlineStr">
        <is>
          <t>Water uptake per kg concentrate</t>
        </is>
      </c>
      <c r="E32" s="4" t="inlineStr">
        <is>
          <t>Δm</t>
        </is>
      </c>
      <c r="F32" s="17" t="n">
        <v>0.143</v>
      </c>
      <c r="G32" s="17" t="n"/>
      <c r="H32" s="17" t="n"/>
      <c r="I32" s="4" t="inlineStr">
        <is>
          <t>kg/kg</t>
        </is>
      </c>
      <c r="J32" s="4" t="inlineStr">
        <is>
          <t>sizing-grade</t>
        </is>
      </c>
      <c r="K32" s="4" t="inlineStr"/>
      <c r="L32" s="4" t="inlineStr">
        <is>
          <t>c_hi/c_lo − 1 = 0.40/0.35 − 1</t>
        </is>
      </c>
      <c r="M32" s="4" t="inlineStr">
        <is>
          <t>10 §3</t>
        </is>
      </c>
    </row>
    <row r="33">
      <c r="A33" s="3" t="inlineStr">
        <is>
          <t>LQ-005</t>
        </is>
      </c>
      <c r="B33" s="4" t="inlineStr">
        <is>
          <t>Liquid</t>
        </is>
      </c>
      <c r="C33" s="4" t="inlineStr">
        <is>
          <t>Brine</t>
        </is>
      </c>
      <c r="D33" s="4" t="inlineStr">
        <is>
          <t>Absorber outlet floor, 40 wt% @ 30 °C brine</t>
        </is>
      </c>
      <c r="E33" s="4" t="inlineStr">
        <is>
          <t>ω_out</t>
        </is>
      </c>
      <c r="F33" s="17" t="n">
        <v>11.9</v>
      </c>
      <c r="G33" s="17" t="n">
        <v>10</v>
      </c>
      <c r="H33" s="17" t="n">
        <v>14.2</v>
      </c>
      <c r="I33" s="4" t="inlineStr">
        <is>
          <t>g/kg</t>
        </is>
      </c>
      <c r="J33" s="4" t="inlineStr">
        <is>
          <t>PENDING A/I</t>
        </is>
      </c>
      <c r="K33" s="4" t="inlineStr">
        <is>
          <t>A, I</t>
        </is>
      </c>
      <c r="L33" s="4" t="inlineStr">
        <is>
          <t>Temperature-dependent band: 10.0 @27 °C, 14.2 @33 °C</t>
        </is>
      </c>
      <c r="M33" s="4" t="inlineStr">
        <is>
          <t>12 §1</t>
        </is>
      </c>
    </row>
    <row r="34">
      <c r="A34" s="3" t="inlineStr">
        <is>
          <t>LQ-006</t>
        </is>
      </c>
      <c r="B34" s="4" t="inlineStr">
        <is>
          <t>Liquid</t>
        </is>
      </c>
      <c r="C34" s="4" t="inlineStr">
        <is>
          <t>Brine</t>
        </is>
      </c>
      <c r="D34" s="4" t="inlineStr">
        <is>
          <t>Hot-regen concentration</t>
        </is>
      </c>
      <c r="E34" s="4" t="inlineStr">
        <is>
          <t>c_hi</t>
        </is>
      </c>
      <c r="F34" s="17" t="n"/>
      <c r="G34" s="17" t="n">
        <v>43</v>
      </c>
      <c r="H34" s="17" t="n">
        <v>44</v>
      </c>
      <c r="I34" s="4" t="inlineStr">
        <is>
          <t>wt%</t>
        </is>
      </c>
      <c r="J34" s="4" t="inlineStr">
        <is>
          <t>sizing-grade</t>
        </is>
      </c>
      <c r="K34" s="4" t="inlineStr">
        <is>
          <t>D</t>
        </is>
      </c>
      <c r="L34" s="4" t="inlineStr">
        <is>
          <t>aw 0.33–0.35 at 85–93 °C regeneration</t>
        </is>
      </c>
      <c r="M34" s="4" t="inlineStr">
        <is>
          <t>10 §3</t>
        </is>
      </c>
    </row>
    <row r="35">
      <c r="A35" s="3" t="inlineStr">
        <is>
          <t>LQ-007</t>
        </is>
      </c>
      <c r="B35" s="4" t="inlineStr">
        <is>
          <t>Liquid</t>
        </is>
      </c>
      <c r="C35" s="4" t="inlineStr">
        <is>
          <t>Brine</t>
        </is>
      </c>
      <c r="D35" s="4" t="inlineStr">
        <is>
          <t>Absorber outlet floor, 43–44 wt% @ 30 °C</t>
        </is>
      </c>
      <c r="E35" s="4" t="inlineStr">
        <is>
          <t>ω_out</t>
        </is>
      </c>
      <c r="F35" s="17" t="n">
        <v>9</v>
      </c>
      <c r="G35" s="17" t="n">
        <v>7.5</v>
      </c>
      <c r="H35" s="17" t="n">
        <v>9</v>
      </c>
      <c r="I35" s="4" t="inlineStr">
        <is>
          <t>g/kg</t>
        </is>
      </c>
      <c r="J35" s="4" t="inlineStr">
        <is>
          <t>PENDING A</t>
        </is>
      </c>
      <c r="K35" s="4" t="inlineStr">
        <is>
          <t>A</t>
        </is>
      </c>
      <c r="L35" s="4" t="inlineStr">
        <is>
          <t>7.5 g/kg at 27 °C brine</t>
        </is>
      </c>
      <c r="M35" s="4" t="inlineStr">
        <is>
          <t>12 §1</t>
        </is>
      </c>
    </row>
    <row r="36">
      <c r="A36" s="3" t="inlineStr">
        <is>
          <t>LQ-008</t>
        </is>
      </c>
      <c r="B36" s="4" t="inlineStr">
        <is>
          <t>Liquid</t>
        </is>
      </c>
      <c r="C36" s="4" t="inlineStr">
        <is>
          <t>Brine</t>
        </is>
      </c>
      <c r="D36" s="4" t="inlineStr">
        <is>
          <t>Cooling leverage on the floor</t>
        </is>
      </c>
      <c r="E36" s="4" t="inlineStr">
        <is>
          <t>∂ω/∂T</t>
        </is>
      </c>
      <c r="F36" s="17" t="n"/>
      <c r="G36" s="17" t="n">
        <v>0.5</v>
      </c>
      <c r="H36" s="17" t="n">
        <v>0.7</v>
      </c>
      <c r="I36" s="4" t="inlineStr">
        <is>
          <t>g/kg·K</t>
        </is>
      </c>
      <c r="J36" s="4" t="inlineStr">
        <is>
          <t>sizing-grade</t>
        </is>
      </c>
      <c r="K36" s="4" t="inlineStr">
        <is>
          <t>A</t>
        </is>
      </c>
      <c r="L36" s="4" t="inlineStr">
        <is>
          <t>∂w_eq/∂T at aw 0.45; land cool-water sinks exploit it free</t>
        </is>
      </c>
      <c r="M36" s="4" t="inlineStr">
        <is>
          <t>10 §3</t>
        </is>
      </c>
    </row>
    <row r="37">
      <c r="A37" s="3" t="inlineStr">
        <is>
          <t>LQ-009</t>
        </is>
      </c>
      <c r="B37" s="4" t="inlineStr">
        <is>
          <t>Liquid</t>
        </is>
      </c>
      <c r="C37" s="4" t="inlineStr">
        <is>
          <t>Brine</t>
        </is>
      </c>
      <c r="D37" s="4" t="inlineStr">
        <is>
          <t>Crystallization liquidus, 40 wt%</t>
        </is>
      </c>
      <c r="E37" s="4" t="inlineStr">
        <is>
          <t>T_liq</t>
        </is>
      </c>
      <c r="F37" s="17" t="n"/>
      <c r="G37" s="17" t="n">
        <v>12</v>
      </c>
      <c r="H37" s="17" t="n">
        <v>13</v>
      </c>
      <c r="I37" s="4" t="inlineStr">
        <is>
          <t>°C</t>
        </is>
      </c>
      <c r="J37" s="4" t="inlineStr">
        <is>
          <t>procurement-grade</t>
        </is>
      </c>
      <c r="K37" s="4" t="inlineStr"/>
      <c r="L37" s="4" t="inlineStr">
        <is>
          <t>CaCl₂ solubility curve; erratum 5 corrected this from ~5 °C</t>
        </is>
      </c>
      <c r="M37" s="4" t="inlineStr">
        <is>
          <t>12 §1</t>
        </is>
      </c>
    </row>
    <row r="38">
      <c r="A38" s="3" t="inlineStr">
        <is>
          <t>LQ-010</t>
        </is>
      </c>
      <c r="B38" s="4" t="inlineStr">
        <is>
          <t>Liquid</t>
        </is>
      </c>
      <c r="C38" s="4" t="inlineStr">
        <is>
          <t>Brine</t>
        </is>
      </c>
      <c r="D38" s="4" t="inlineStr">
        <is>
          <t>Crystallization liquidus, 42 wt%</t>
        </is>
      </c>
      <c r="E38" s="4" t="inlineStr">
        <is>
          <t>T_liq</t>
        </is>
      </c>
      <c r="F38" s="17" t="n"/>
      <c r="G38" s="17" t="n">
        <v>18</v>
      </c>
      <c r="H38" s="17" t="n">
        <v>19</v>
      </c>
      <c r="I38" s="4" t="inlineStr">
        <is>
          <t>°C</t>
        </is>
      </c>
      <c r="J38" s="4" t="inlineStr">
        <is>
          <t>procurement-grade</t>
        </is>
      </c>
      <c r="K38" s="4" t="inlineStr"/>
      <c r="L38" s="4" t="inlineStr"/>
      <c r="M38" s="4" t="inlineStr">
        <is>
          <t>12 §1</t>
        </is>
      </c>
    </row>
    <row r="39">
      <c r="A39" s="3" t="inlineStr">
        <is>
          <t>LQ-011</t>
        </is>
      </c>
      <c r="B39" s="4" t="inlineStr">
        <is>
          <t>Liquid</t>
        </is>
      </c>
      <c r="C39" s="4" t="inlineStr">
        <is>
          <t>Brine</t>
        </is>
      </c>
      <c r="D39" s="4" t="inlineStr">
        <is>
          <t>Crystallization liquidus, 44 wt%</t>
        </is>
      </c>
      <c r="E39" s="4" t="inlineStr">
        <is>
          <t>T_liq</t>
        </is>
      </c>
      <c r="F39" s="17" t="n">
        <v>22</v>
      </c>
      <c r="G39" s="17" t="n"/>
      <c r="H39" s="17" t="n"/>
      <c r="I39" s="4" t="inlineStr">
        <is>
          <t>°C</t>
        </is>
      </c>
      <c r="J39" s="4" t="inlineStr">
        <is>
          <t>procurement-grade</t>
        </is>
      </c>
      <c r="K39" s="4" t="inlineStr"/>
      <c r="L39" s="4" t="inlineStr"/>
      <c r="M39" s="4" t="inlineStr">
        <is>
          <t>12 §1</t>
        </is>
      </c>
    </row>
    <row r="40">
      <c r="A40" s="3" t="inlineStr">
        <is>
          <t>LQ-012</t>
        </is>
      </c>
      <c r="B40" s="4" t="inlineStr">
        <is>
          <t>Liquid</t>
        </is>
      </c>
      <c r="C40" s="4" t="inlineStr">
        <is>
          <t>Safety</t>
        </is>
      </c>
      <c r="D40" s="4" t="inlineStr">
        <is>
          <t>High-SG cutoff concentration</t>
        </is>
      </c>
      <c r="E40" s="4" t="inlineStr">
        <is>
          <t>c_max</t>
        </is>
      </c>
      <c r="F40" s="17" t="n">
        <v>42</v>
      </c>
      <c r="G40" s="17" t="n"/>
      <c r="H40" s="17" t="n"/>
      <c r="I40" s="4" t="inlineStr">
        <is>
          <t>wt%</t>
        </is>
      </c>
      <c r="J40" s="4" t="inlineStr">
        <is>
          <t>requirement</t>
        </is>
      </c>
      <c r="K40" s="4" t="inlineStr"/>
      <c r="L40" s="4" t="inlineStr">
        <is>
          <t>Interlock: unless brine ≥22 °C guaranteed (safety register 6)</t>
        </is>
      </c>
      <c r="M40" s="4" t="inlineStr">
        <is>
          <t>11 §4</t>
        </is>
      </c>
    </row>
    <row r="41">
      <c r="A41" s="3" t="inlineStr">
        <is>
          <t>LQ-013</t>
        </is>
      </c>
      <c r="B41" s="4" t="inlineStr">
        <is>
          <t>Liquid</t>
        </is>
      </c>
      <c r="C41" s="4" t="inlineStr">
        <is>
          <t>Safety</t>
        </is>
      </c>
      <c r="D41" s="4" t="inlineStr">
        <is>
          <t>Stored concentrate cap</t>
        </is>
      </c>
      <c r="E41" s="4" t="inlineStr">
        <is>
          <t>c_store</t>
        </is>
      </c>
      <c r="F41" s="17" t="n">
        <v>43</v>
      </c>
      <c r="G41" s="17" t="n"/>
      <c r="H41" s="17" t="n"/>
      <c r="I41" s="4" t="inlineStr">
        <is>
          <t>wt%</t>
        </is>
      </c>
      <c r="J41" s="4" t="inlineStr">
        <is>
          <t>requirement</t>
        </is>
      </c>
      <c r="K41" s="4" t="inlineStr"/>
      <c r="L41" s="4" t="inlineStr"/>
      <c r="M41" s="4" t="inlineStr">
        <is>
          <t>11 §4</t>
        </is>
      </c>
    </row>
    <row r="42">
      <c r="A42" s="3" t="inlineStr">
        <is>
          <t>LQ-014</t>
        </is>
      </c>
      <c r="B42" s="4" t="inlineStr">
        <is>
          <t>Liquid</t>
        </is>
      </c>
      <c r="C42" s="4" t="inlineStr">
        <is>
          <t>Brine</t>
        </is>
      </c>
      <c r="D42" s="4" t="inlineStr">
        <is>
          <t>Salt specification</t>
        </is>
      </c>
      <c r="E42" s="4" t="inlineStr">
        <is>
          <t>—</t>
        </is>
      </c>
      <c r="F42" s="17" t="n"/>
      <c r="G42" s="17" t="n">
        <v>94</v>
      </c>
      <c r="H42" s="17" t="n">
        <v>97</v>
      </c>
      <c r="I42" s="4" t="inlineStr">
        <is>
          <t>%</t>
        </is>
      </c>
      <c r="J42" s="4" t="inlineStr">
        <is>
          <t>procurement-grade</t>
        </is>
      </c>
      <c r="K42" s="4" t="inlineStr"/>
      <c r="L42" s="4" t="inlineStr">
        <is>
          <t>Plain CaCl₂ pellet 94–97% or flake 83–87%; no ferrocyanide/dye/MgCl₂</t>
        </is>
      </c>
      <c r="M42" s="4" t="inlineStr">
        <is>
          <t>11 §1</t>
        </is>
      </c>
    </row>
    <row r="43">
      <c r="A43" s="3" t="inlineStr">
        <is>
          <t>LQ-020</t>
        </is>
      </c>
      <c r="B43" s="4" t="inlineStr">
        <is>
          <t>Liquid</t>
        </is>
      </c>
      <c r="C43" s="4" t="inlineStr">
        <is>
          <t>Air path</t>
        </is>
      </c>
      <c r="D43" s="4" t="inlineStr">
        <is>
          <t>Fresh-air floor, 4 occupants</t>
        </is>
      </c>
      <c r="E43" s="4" t="inlineStr">
        <is>
          <t>V_fresh</t>
        </is>
      </c>
      <c r="F43" s="17" t="n">
        <v>48</v>
      </c>
      <c r="G43" s="17" t="n"/>
      <c r="H43" s="17" t="n"/>
      <c r="I43" s="4" t="inlineStr">
        <is>
          <t>m³/h</t>
        </is>
      </c>
      <c r="J43" s="4" t="inlineStr">
        <is>
          <t>requirement</t>
        </is>
      </c>
      <c r="K43" s="4" t="inlineStr"/>
      <c r="L43" s="4" t="inlineStr">
        <is>
          <t>12 m³/h·person, CO₂-interlocked; ≈58 kg/h</t>
        </is>
      </c>
      <c r="M43" s="4" t="inlineStr">
        <is>
          <t>12 §1</t>
        </is>
      </c>
    </row>
    <row r="44">
      <c r="A44" s="3" t="inlineStr">
        <is>
          <t>LQ-021</t>
        </is>
      </c>
      <c r="B44" s="4" t="inlineStr">
        <is>
          <t>Liquid</t>
        </is>
      </c>
      <c r="C44" s="4" t="inlineStr">
        <is>
          <t>Air path</t>
        </is>
      </c>
      <c r="D44" s="4" t="inlineStr">
        <is>
          <t>Recirculation flow (mixed mode)</t>
        </is>
      </c>
      <c r="E44" s="4" t="inlineStr">
        <is>
          <t>V_rec</t>
        </is>
      </c>
      <c r="F44" s="17" t="n">
        <v>75</v>
      </c>
      <c r="G44" s="17" t="n"/>
      <c r="H44" s="17" t="n"/>
      <c r="I44" s="4" t="inlineStr">
        <is>
          <t>m³/h</t>
        </is>
      </c>
      <c r="J44" s="4" t="inlineStr">
        <is>
          <t>sizing-grade</t>
        </is>
      </c>
      <c r="K44" s="4" t="inlineStr">
        <is>
          <t>I</t>
        </is>
      </c>
      <c r="L44" s="4" t="inlineStr">
        <is>
          <t>Decouples removal capacity from the ventilation ration (X6)</t>
        </is>
      </c>
      <c r="M44" s="4" t="inlineStr">
        <is>
          <t>10 §2</t>
        </is>
      </c>
    </row>
    <row r="45">
      <c r="A45" s="3" t="inlineStr">
        <is>
          <t>LQ-022</t>
        </is>
      </c>
      <c r="B45" s="4" t="inlineStr">
        <is>
          <t>Liquid</t>
        </is>
      </c>
      <c r="C45" s="4" t="inlineStr">
        <is>
          <t>Air path</t>
        </is>
      </c>
      <c r="D45" s="4" t="inlineStr">
        <is>
          <t>Total absorber flow (mixed mode)</t>
        </is>
      </c>
      <c r="E45" s="4" t="inlineStr">
        <is>
          <t>V_tot</t>
        </is>
      </c>
      <c r="F45" s="17" t="n">
        <v>123</v>
      </c>
      <c r="G45" s="17" t="n"/>
      <c r="H45" s="17" t="n"/>
      <c r="I45" s="4" t="inlineStr">
        <is>
          <t>m³/h</t>
        </is>
      </c>
      <c r="J45" s="4" t="inlineStr">
        <is>
          <t>sizing-grade</t>
        </is>
      </c>
      <c r="K45" s="4" t="inlineStr">
        <is>
          <t>I</t>
        </is>
      </c>
      <c r="L45" s="4" t="inlineStr">
        <is>
          <t>≈147 kg/h; = gains 280 g/h ÷ (13.8 − 11.9) g/kg</t>
        </is>
      </c>
      <c r="M45" s="4" t="inlineStr">
        <is>
          <t>12 §1</t>
        </is>
      </c>
    </row>
    <row r="46">
      <c r="A46" s="3" t="inlineStr">
        <is>
          <t>LQ-023</t>
        </is>
      </c>
      <c r="B46" s="4" t="inlineStr">
        <is>
          <t>Liquid</t>
        </is>
      </c>
      <c r="C46" s="4" t="inlineStr">
        <is>
          <t>Air path</t>
        </is>
      </c>
      <c r="D46" s="4" t="inlineStr">
        <is>
          <t>ERV latent effectiveness</t>
        </is>
      </c>
      <c r="E46" s="4" t="inlineStr">
        <is>
          <t>ε_lat</t>
        </is>
      </c>
      <c r="F46" s="17" t="n">
        <v>0.8</v>
      </c>
      <c r="G46" s="17" t="n"/>
      <c r="H46" s="17" t="n"/>
      <c r="I46" s="4" t="inlineStr">
        <is>
          <t>—</t>
        </is>
      </c>
      <c r="J46" s="4" t="inlineStr">
        <is>
          <t>PENDING E</t>
        </is>
      </c>
      <c r="K46" s="4" t="inlineStr">
        <is>
          <t>E</t>
        </is>
      </c>
      <c r="L46" s="4" t="inlineStr">
        <is>
          <t>Purchasable with membrane area — oversize it</t>
        </is>
      </c>
      <c r="M46" s="4" t="inlineStr">
        <is>
          <t>11 §5</t>
        </is>
      </c>
    </row>
    <row r="47">
      <c r="A47" s="3" t="inlineStr">
        <is>
          <t>LQ-024</t>
        </is>
      </c>
      <c r="B47" s="4" t="inlineStr">
        <is>
          <t>Liquid</t>
        </is>
      </c>
      <c r="C47" s="4" t="inlineStr">
        <is>
          <t>Air path</t>
        </is>
      </c>
      <c r="D47" s="4" t="inlineStr">
        <is>
          <t>ERV pre-dried fresh air</t>
        </is>
      </c>
      <c r="E47" s="4" t="inlineStr">
        <is>
          <t>ω_ERV</t>
        </is>
      </c>
      <c r="F47" s="17" t="n">
        <v>15.9</v>
      </c>
      <c r="G47" s="17" t="n"/>
      <c r="H47" s="17" t="n"/>
      <c r="I47" s="4" t="inlineStr">
        <is>
          <t>g/kg</t>
        </is>
      </c>
      <c r="J47" s="4" t="inlineStr">
        <is>
          <t>sizing-grade</t>
        </is>
      </c>
      <c r="K47" s="4" t="inlineStr">
        <is>
          <t>E</t>
        </is>
      </c>
      <c r="L47" s="4" t="inlineStr">
        <is>
          <t>ω_amb − ε(ω_amb − ω_cab) at ε 0.8 — see CHK-002</t>
        </is>
      </c>
      <c r="M47" s="4" t="inlineStr">
        <is>
          <t>12 §1</t>
        </is>
      </c>
    </row>
    <row r="48">
      <c r="A48" s="3" t="inlineStr">
        <is>
          <t>LQ-025</t>
        </is>
      </c>
      <c r="B48" s="4" t="inlineStr">
        <is>
          <t>Liquid</t>
        </is>
      </c>
      <c r="C48" s="4" t="inlineStr">
        <is>
          <t>Air path</t>
        </is>
      </c>
      <c r="D48" s="4" t="inlineStr">
        <is>
          <t>ERV CO₂ crossover (EATR) limit</t>
        </is>
      </c>
      <c r="E48" s="4" t="inlineStr">
        <is>
          <t>EATR</t>
        </is>
      </c>
      <c r="F48" s="17" t="n">
        <v>5</v>
      </c>
      <c r="G48" s="17" t="n"/>
      <c r="H48" s="17" t="n"/>
      <c r="I48" s="4" t="inlineStr">
        <is>
          <t>%</t>
        </is>
      </c>
      <c r="J48" s="4" t="inlineStr">
        <is>
          <t>PENDING E</t>
        </is>
      </c>
      <c r="K48" s="4" t="inlineStr">
        <is>
          <t>E</t>
        </is>
      </c>
      <c r="L48" s="4" t="inlineStr">
        <is>
          <t>Acceptance limit, not a prediction</t>
        </is>
      </c>
      <c r="M48" s="4" t="inlineStr">
        <is>
          <t>11 §5</t>
        </is>
      </c>
    </row>
    <row r="49">
      <c r="A49" s="3" t="inlineStr">
        <is>
          <t>LQ-026</t>
        </is>
      </c>
      <c r="B49" s="4" t="inlineStr">
        <is>
          <t>Liquid</t>
        </is>
      </c>
      <c r="C49" s="4" t="inlineStr">
        <is>
          <t>Duty</t>
        </is>
      </c>
      <c r="D49" s="4" t="inlineStr">
        <is>
          <t>Peak removal, 4 adults, mixed mode (bare fresh)</t>
        </is>
      </c>
      <c r="E49" s="4" t="inlineStr">
        <is>
          <t>ṁ_w</t>
        </is>
      </c>
      <c r="F49" s="17" t="n">
        <v>0.88</v>
      </c>
      <c r="G49" s="17" t="n"/>
      <c r="H49" s="17" t="n"/>
      <c r="I49" s="4" t="inlineStr">
        <is>
          <t>kg/h</t>
        </is>
      </c>
      <c r="J49" s="4" t="inlineStr">
        <is>
          <t>sizing-grade</t>
        </is>
      </c>
      <c r="K49" s="4" t="inlineStr">
        <is>
          <t>I</t>
        </is>
      </c>
      <c r="L49" s="4" t="inlineStr">
        <is>
          <t>58 kg/h × (24.2−11.9) + 90.6 kg/h × (13.8−11.9)</t>
        </is>
      </c>
      <c r="M49" s="4" t="inlineStr">
        <is>
          <t>12 §1</t>
        </is>
      </c>
    </row>
    <row r="50">
      <c r="A50" s="3" t="inlineStr">
        <is>
          <t>LQ-027</t>
        </is>
      </c>
      <c r="B50" s="4" t="inlineStr">
        <is>
          <t>Liquid</t>
        </is>
      </c>
      <c r="C50" s="4" t="inlineStr">
        <is>
          <t>Duty</t>
        </is>
      </c>
      <c r="D50" s="4" t="inlineStr">
        <is>
          <t>Peak removal, ERV'd steady</t>
        </is>
      </c>
      <c r="E50" s="4" t="inlineStr">
        <is>
          <t>ṁ_w</t>
        </is>
      </c>
      <c r="F50" s="17" t="n">
        <v>0.49</v>
      </c>
      <c r="G50" s="17" t="n">
        <v>0.49</v>
      </c>
      <c r="H50" s="17" t="n">
        <v>0.6</v>
      </c>
      <c r="I50" s="4" t="inlineStr">
        <is>
          <t>kg/h</t>
        </is>
      </c>
      <c r="J50" s="4" t="inlineStr">
        <is>
          <t>sizing-grade</t>
        </is>
      </c>
      <c r="K50" s="4" t="inlineStr">
        <is>
          <t>E, I</t>
        </is>
      </c>
      <c r="L50" s="4" t="inlineStr">
        <is>
          <t>Quoted 0.49 corresponds to ω_ERV ≈ 17.4 g/kg — see CHK-002</t>
        </is>
      </c>
      <c r="M50" s="4" t="inlineStr">
        <is>
          <t>12 §1</t>
        </is>
      </c>
    </row>
    <row r="51">
      <c r="A51" s="3" t="inlineStr">
        <is>
          <t>LQ-028</t>
        </is>
      </c>
      <c r="B51" s="4" t="inlineStr">
        <is>
          <t>Liquid</t>
        </is>
      </c>
      <c r="C51" s="4" t="inlineStr">
        <is>
          <t>Duty</t>
        </is>
      </c>
      <c r="D51" s="4" t="inlineStr">
        <is>
          <t>Regeneration latent duty</t>
        </is>
      </c>
      <c r="E51" s="4" t="inlineStr">
        <is>
          <t>Q_lat</t>
        </is>
      </c>
      <c r="F51" s="17" t="n">
        <v>0.6</v>
      </c>
      <c r="G51" s="17" t="n"/>
      <c r="H51" s="17" t="n"/>
      <c r="I51" s="4" t="inlineStr">
        <is>
          <t>kW</t>
        </is>
      </c>
      <c r="J51" s="4" t="inlineStr">
        <is>
          <t>sizing-grade</t>
        </is>
      </c>
      <c r="K51" s="4" t="inlineStr"/>
      <c r="L51" s="4" t="inlineStr">
        <is>
          <t>0.88 kg/h × 2.44 MJ/kg</t>
        </is>
      </c>
      <c r="M51" s="4" t="inlineStr">
        <is>
          <t>10 §3</t>
        </is>
      </c>
    </row>
    <row r="52">
      <c r="A52" s="3" t="inlineStr">
        <is>
          <t>LQ-029</t>
        </is>
      </c>
      <c r="B52" s="4" t="inlineStr">
        <is>
          <t>Liquid</t>
        </is>
      </c>
      <c r="C52" s="4" t="inlineStr">
        <is>
          <t>Duty</t>
        </is>
      </c>
      <c r="D52" s="4" t="inlineStr">
        <is>
          <t>Regeneration heat, peak (bare fresh)</t>
        </is>
      </c>
      <c r="E52" s="4" t="inlineStr">
        <is>
          <t>Q_regen</t>
        </is>
      </c>
      <c r="F52" s="17" t="n">
        <v>0.92</v>
      </c>
      <c r="G52" s="17" t="n"/>
      <c r="H52" s="17" t="n"/>
      <c r="I52" s="4" t="inlineStr">
        <is>
          <t>kW</t>
        </is>
      </c>
      <c r="J52" s="4" t="inlineStr">
        <is>
          <t>sizing-grade</t>
        </is>
      </c>
      <c r="K52" s="4" t="inlineStr">
        <is>
          <t>D</t>
        </is>
      </c>
      <c r="L52" s="4" t="inlineStr">
        <is>
          <t>latent ÷ COP 0.55–0.75</t>
        </is>
      </c>
      <c r="M52" s="4" t="inlineStr">
        <is>
          <t>12 §1</t>
        </is>
      </c>
    </row>
    <row r="53">
      <c r="A53" s="3" t="inlineStr">
        <is>
          <t>LQ-030</t>
        </is>
      </c>
      <c r="B53" s="4" t="inlineStr">
        <is>
          <t>Liquid</t>
        </is>
      </c>
      <c r="C53" s="4" t="inlineStr">
        <is>
          <t>Duty</t>
        </is>
      </c>
      <c r="D53" s="4" t="inlineStr">
        <is>
          <t>Regeneration heat, peak (ERV'd)</t>
        </is>
      </c>
      <c r="E53" s="4" t="inlineStr">
        <is>
          <t>Q_regen</t>
        </is>
      </c>
      <c r="F53" s="17" t="n">
        <v>0.6</v>
      </c>
      <c r="G53" s="17" t="n"/>
      <c r="H53" s="17" t="n"/>
      <c r="I53" s="4" t="inlineStr">
        <is>
          <t>kW</t>
        </is>
      </c>
      <c r="J53" s="4" t="inlineStr">
        <is>
          <t>sizing-grade</t>
        </is>
      </c>
      <c r="K53" s="4" t="inlineStr">
        <is>
          <t>D, E</t>
        </is>
      </c>
      <c r="L53" s="4" t="inlineStr"/>
      <c r="M53" s="4" t="inlineStr">
        <is>
          <t>12 §1</t>
        </is>
      </c>
    </row>
    <row r="54">
      <c r="A54" s="3" t="inlineStr">
        <is>
          <t>LQ-031</t>
        </is>
      </c>
      <c r="B54" s="4" t="inlineStr">
        <is>
          <t>Liquid</t>
        </is>
      </c>
      <c r="C54" s="4" t="inlineStr">
        <is>
          <t>Duty</t>
        </is>
      </c>
      <c r="D54" s="4" t="inlineStr">
        <is>
          <t>Daily regeneration heat, bare fresh</t>
        </is>
      </c>
      <c r="E54" s="4" t="inlineStr">
        <is>
          <t>E_day</t>
        </is>
      </c>
      <c r="F54" s="17" t="n"/>
      <c r="G54" s="17" t="n">
        <v>17</v>
      </c>
      <c r="H54" s="17" t="n">
        <v>20</v>
      </c>
      <c r="I54" s="4" t="inlineStr">
        <is>
          <t>kWh/day</t>
        </is>
      </c>
      <c r="J54" s="4" t="inlineStr">
        <is>
          <t>sizing-grade</t>
        </is>
      </c>
      <c r="K54" s="4" t="inlineStr">
        <is>
          <t>D</t>
        </is>
      </c>
      <c r="L54" s="4" t="inlineStr">
        <is>
          <t>Duty-scheduled at DP-A</t>
        </is>
      </c>
      <c r="M54" s="4" t="inlineStr">
        <is>
          <t>12 §1</t>
        </is>
      </c>
    </row>
    <row r="55">
      <c r="A55" s="3" t="inlineStr">
        <is>
          <t>LQ-032</t>
        </is>
      </c>
      <c r="B55" s="4" t="inlineStr">
        <is>
          <t>Liquid</t>
        </is>
      </c>
      <c r="C55" s="4" t="inlineStr">
        <is>
          <t>Duty</t>
        </is>
      </c>
      <c r="D55" s="4" t="inlineStr">
        <is>
          <t>Daily regeneration heat, ERV + DCV</t>
        </is>
      </c>
      <c r="E55" s="4" t="inlineStr">
        <is>
          <t>E_day</t>
        </is>
      </c>
      <c r="F55" s="17" t="n"/>
      <c r="G55" s="17" t="n">
        <v>9</v>
      </c>
      <c r="H55" s="17" t="n">
        <v>11</v>
      </c>
      <c r="I55" s="4" t="inlineStr">
        <is>
          <t>kWh/day</t>
        </is>
      </c>
      <c r="J55" s="4" t="inlineStr">
        <is>
          <t>sizing-grade</t>
        </is>
      </c>
      <c r="K55" s="4" t="inlineStr">
        <is>
          <t>D, E</t>
        </is>
      </c>
      <c r="L55" s="4" t="inlineStr">
        <is>
          <t>The budget the solar array is sized to</t>
        </is>
      </c>
      <c r="M55" s="4" t="inlineStr">
        <is>
          <t>12 §1</t>
        </is>
      </c>
    </row>
    <row r="56">
      <c r="A56" s="3" t="inlineStr">
        <is>
          <t>LQ-033</t>
        </is>
      </c>
      <c r="B56" s="4" t="inlineStr">
        <is>
          <t>Liquid</t>
        </is>
      </c>
      <c r="C56" s="4" t="inlineStr">
        <is>
          <t>Duty</t>
        </is>
      </c>
      <c r="D56" s="4" t="inlineStr">
        <is>
          <t>Regeneration thermal COP</t>
        </is>
      </c>
      <c r="E56" s="4" t="inlineStr">
        <is>
          <t>COP_th</t>
        </is>
      </c>
      <c r="F56" s="17" t="n">
        <v>0.59</v>
      </c>
      <c r="G56" s="17" t="n">
        <v>0.55</v>
      </c>
      <c r="H56" s="17" t="n">
        <v>0.75</v>
      </c>
      <c r="I56" s="4" t="inlineStr">
        <is>
          <t>—</t>
        </is>
      </c>
      <c r="J56" s="4" t="inlineStr">
        <is>
          <t>sizing-grade</t>
        </is>
      </c>
      <c r="K56" s="4" t="inlineStr">
        <is>
          <t>D</t>
        </is>
      </c>
      <c r="L56" s="4" t="inlineStr">
        <is>
          <t>Build-up: latent 0.678 + brine sens. 0.184 + air sens. 0.131 kWh/kg ×1.15</t>
        </is>
      </c>
      <c r="M56" s="4" t="inlineStr">
        <is>
          <t>12 §1</t>
        </is>
      </c>
    </row>
    <row r="57">
      <c r="A57" s="3" t="inlineStr">
        <is>
          <t>LQ-034</t>
        </is>
      </c>
      <c r="B57" s="4" t="inlineStr">
        <is>
          <t>Liquid</t>
        </is>
      </c>
      <c r="C57" s="4" t="inlineStr">
        <is>
          <t>Duty</t>
        </is>
      </c>
      <c r="D57" s="4" t="inlineStr">
        <is>
          <t>Regeneration COP with recovery HX</t>
        </is>
      </c>
      <c r="E57" s="4" t="inlineStr">
        <is>
          <t>COP_th</t>
        </is>
      </c>
      <c r="F57" s="17" t="n">
        <v>0.65</v>
      </c>
      <c r="G57" s="17" t="n"/>
      <c r="H57" s="17" t="n"/>
      <c r="I57" s="4" t="inlineStr">
        <is>
          <t>—</t>
        </is>
      </c>
      <c r="J57" s="4" t="inlineStr">
        <is>
          <t>sizing-grade</t>
        </is>
      </c>
      <c r="K57" s="4" t="inlineStr">
        <is>
          <t>D</t>
        </is>
      </c>
      <c r="L57" s="4" t="inlineStr"/>
      <c r="M57" s="4" t="inlineStr">
        <is>
          <t>12 §1</t>
        </is>
      </c>
    </row>
    <row r="58">
      <c r="A58" s="3" t="inlineStr">
        <is>
          <t>LQ-035</t>
        </is>
      </c>
      <c r="B58" s="4" t="inlineStr">
        <is>
          <t>Liquid</t>
        </is>
      </c>
      <c r="C58" s="4" t="inlineStr">
        <is>
          <t>Duty</t>
        </is>
      </c>
      <c r="D58" s="4" t="inlineStr">
        <is>
          <t>Absorption heat rejected to brine</t>
        </is>
      </c>
      <c r="E58" s="4" t="inlineStr">
        <is>
          <t>Q_abs</t>
        </is>
      </c>
      <c r="F58" s="17" t="n">
        <v>0.66</v>
      </c>
      <c r="G58" s="17" t="n"/>
      <c r="H58" s="17" t="n"/>
      <c r="I58" s="4" t="inlineStr">
        <is>
          <t>kW</t>
        </is>
      </c>
      <c r="J58" s="4" t="inlineStr">
        <is>
          <t>sizing-grade</t>
        </is>
      </c>
      <c r="K58" s="4" t="inlineStr"/>
      <c r="L58" s="4" t="inlineStr">
        <is>
          <t>0.88 kg/h × 2.7 MJ/kg — rejection is required, not optional (erratum 2)</t>
        </is>
      </c>
      <c r="M58" s="4" t="inlineStr">
        <is>
          <t>12 §1</t>
        </is>
      </c>
    </row>
    <row r="59">
      <c r="A59" s="3" t="inlineStr">
        <is>
          <t>LQ-036</t>
        </is>
      </c>
      <c r="B59" s="4" t="inlineStr">
        <is>
          <t>Liquid</t>
        </is>
      </c>
      <c r="C59" s="4" t="inlineStr">
        <is>
          <t>Duty</t>
        </is>
      </c>
      <c r="D59" s="4" t="inlineStr">
        <is>
          <t>Uncooled contactor self-heating</t>
        </is>
      </c>
      <c r="E59" s="4" t="inlineStr">
        <is>
          <t>ΔT</t>
        </is>
      </c>
      <c r="F59" s="17" t="n"/>
      <c r="G59" s="17" t="n">
        <v>5</v>
      </c>
      <c r="H59" s="17" t="n">
        <v>8</v>
      </c>
      <c r="I59" s="4" t="inlineStr">
        <is>
          <t>K</t>
        </is>
      </c>
      <c r="J59" s="4" t="inlineStr">
        <is>
          <t>sizing-grade</t>
        </is>
      </c>
      <c r="K59" s="4" t="inlineStr">
        <is>
          <t>I</t>
        </is>
      </c>
      <c r="L59" s="4" t="inlineStr">
        <is>
          <t>Drives the floor to 12–14+ g/kg</t>
        </is>
      </c>
      <c r="M59" s="4" t="inlineStr">
        <is>
          <t>12 §1</t>
        </is>
      </c>
    </row>
    <row r="60">
      <c r="A60" s="3" t="inlineStr">
        <is>
          <t>LQ-037</t>
        </is>
      </c>
      <c r="B60" s="4" t="inlineStr">
        <is>
          <t>Liquid</t>
        </is>
      </c>
      <c r="C60" s="4" t="inlineStr">
        <is>
          <t>Duty</t>
        </is>
      </c>
      <c r="D60" s="4" t="inlineStr">
        <is>
          <t>Air-side heat removal capacity</t>
        </is>
      </c>
      <c r="E60" s="4" t="inlineStr">
        <is>
          <t>UA_air</t>
        </is>
      </c>
      <c r="F60" s="17" t="n">
        <v>16</v>
      </c>
      <c r="G60" s="17" t="n"/>
      <c r="H60" s="17" t="n"/>
      <c r="I60" s="4" t="inlineStr">
        <is>
          <t>W/K</t>
        </is>
      </c>
      <c r="J60" s="4" t="inlineStr">
        <is>
          <t>sizing-grade</t>
        </is>
      </c>
      <c r="K60" s="4" t="inlineStr"/>
      <c r="L60" s="4" t="inlineStr">
        <is>
          <t>Per 48 m³/h fresh (≈35 W/K quoted at mixed-mode flow, 10 §3)</t>
        </is>
      </c>
      <c r="M60" s="4" t="inlineStr">
        <is>
          <t>12 §1</t>
        </is>
      </c>
    </row>
    <row r="61">
      <c r="A61" s="3" t="inlineStr">
        <is>
          <t>LQ-038</t>
        </is>
      </c>
      <c r="B61" s="4" t="inlineStr">
        <is>
          <t>Liquid</t>
        </is>
      </c>
      <c r="C61" s="4" t="inlineStr">
        <is>
          <t>Duty</t>
        </is>
      </c>
      <c r="D61" s="4" t="inlineStr">
        <is>
          <t>Brine transfer flow, average</t>
        </is>
      </c>
      <c r="E61" s="4" t="inlineStr">
        <is>
          <t>V̇_b</t>
        </is>
      </c>
      <c r="F61" s="17" t="n">
        <v>0.07000000000000001</v>
      </c>
      <c r="G61" s="17" t="n">
        <v>0.04</v>
      </c>
      <c r="H61" s="17" t="n">
        <v>0.35</v>
      </c>
      <c r="I61" s="4" t="inlineStr">
        <is>
          <t>L/min</t>
        </is>
      </c>
      <c r="J61" s="4" t="inlineStr">
        <is>
          <t>sizing-grade</t>
        </is>
      </c>
      <c r="K61" s="4" t="inlineStr"/>
      <c r="L61" s="4" t="inlineStr">
        <is>
          <t>removal ÷ 0.143 ÷ ρ; 0.35 L/min peak</t>
        </is>
      </c>
      <c r="M61" s="4" t="inlineStr">
        <is>
          <t>10 §3</t>
        </is>
      </c>
    </row>
    <row r="62">
      <c r="A62" s="3" t="inlineStr">
        <is>
          <t>LQ-039</t>
        </is>
      </c>
      <c r="B62" s="4" t="inlineStr">
        <is>
          <t>Liquid</t>
        </is>
      </c>
      <c r="C62" s="4" t="inlineStr">
        <is>
          <t>Storage</t>
        </is>
      </c>
      <c r="D62" s="4" t="inlineStr">
        <is>
          <t>Overnight reserve, 4 adults</t>
        </is>
      </c>
      <c r="E62" s="4" t="inlineStr">
        <is>
          <t>m_res</t>
        </is>
      </c>
      <c r="F62" s="17" t="n"/>
      <c r="G62" s="17" t="n">
        <v>35</v>
      </c>
      <c r="H62" s="17" t="n">
        <v>40</v>
      </c>
      <c r="I62" s="4" t="inlineStr">
        <is>
          <t>kg</t>
        </is>
      </c>
      <c r="J62" s="4" t="inlineStr">
        <is>
          <t>sizing-grade</t>
        </is>
      </c>
      <c r="K62" s="4" t="inlineStr"/>
      <c r="L62" s="4" t="inlineStr">
        <is>
          <t>12 h duty ÷ 0.143 kg/kg, duty-averaged</t>
        </is>
      </c>
      <c r="M62" s="4" t="inlineStr">
        <is>
          <t>10 §3</t>
        </is>
      </c>
    </row>
    <row r="63">
      <c r="A63" s="3" t="inlineStr">
        <is>
          <t>LQ-040</t>
        </is>
      </c>
      <c r="B63" s="4" t="inlineStr">
        <is>
          <t>Liquid</t>
        </is>
      </c>
      <c r="C63" s="4" t="inlineStr">
        <is>
          <t>Storage</t>
        </is>
      </c>
      <c r="D63" s="4" t="inlineStr">
        <is>
          <t>Reserve specification band</t>
        </is>
      </c>
      <c r="E63" s="4" t="inlineStr">
        <is>
          <t>m_res</t>
        </is>
      </c>
      <c r="F63" s="17" t="n"/>
      <c r="G63" s="17" t="n">
        <v>25</v>
      </c>
      <c r="H63" s="17" t="n">
        <v>55</v>
      </c>
      <c r="I63" s="4" t="inlineStr">
        <is>
          <t>kg</t>
        </is>
      </c>
      <c r="J63" s="4" t="inlineStr">
        <is>
          <t>requirement</t>
        </is>
      </c>
      <c r="K63" s="4" t="inlineStr"/>
      <c r="L63" s="4" t="inlineStr">
        <is>
          <t>Tank sizing spec; vented HDPE 25–60 L, tied down</t>
        </is>
      </c>
      <c r="M63" s="4" t="inlineStr">
        <is>
          <t>10 §3; 11 §6</t>
        </is>
      </c>
    </row>
    <row r="64">
      <c r="A64" s="3" t="inlineStr">
        <is>
          <t>LQ-041</t>
        </is>
      </c>
      <c r="B64" s="4" t="inlineStr">
        <is>
          <t>Liquid</t>
        </is>
      </c>
      <c r="C64" s="4" t="inlineStr">
        <is>
          <t>Water</t>
        </is>
      </c>
      <c r="D64" s="4" t="inlineStr">
        <is>
          <t>Still distillate output</t>
        </is>
      </c>
      <c r="E64" s="4" t="inlineStr">
        <is>
          <t>V̇_dist</t>
        </is>
      </c>
      <c r="F64" s="17" t="n"/>
      <c r="G64" s="17" t="n">
        <v>8</v>
      </c>
      <c r="H64" s="17" t="n">
        <v>18</v>
      </c>
      <c r="I64" s="4" t="inlineStr">
        <is>
          <t>L/day</t>
        </is>
      </c>
      <c r="J64" s="4" t="inlineStr">
        <is>
          <t>sizing-grade</t>
        </is>
      </c>
      <c r="K64" s="4" t="inlineStr">
        <is>
          <t>G</t>
        </is>
      </c>
      <c r="L64" s="4" t="inlineStr">
        <is>
          <t>Byproduct of regeneration; feeds the M-cycle and tanks</t>
        </is>
      </c>
      <c r="M64" s="4" t="inlineStr">
        <is>
          <t>30 §5</t>
        </is>
      </c>
    </row>
    <row r="65">
      <c r="A65" s="3" t="inlineStr">
        <is>
          <t>LQ-050</t>
        </is>
      </c>
      <c r="B65" s="4" t="inlineStr">
        <is>
          <t>Liquid</t>
        </is>
      </c>
      <c r="C65" s="4" t="inlineStr">
        <is>
          <t>Contactor</t>
        </is>
      </c>
      <c r="D65" s="4" t="inlineStr">
        <is>
          <t>Cell fill envelope</t>
        </is>
      </c>
      <c r="E65" s="4" t="inlineStr">
        <is>
          <t>H×W×D</t>
        </is>
      </c>
      <c r="F65" s="17" t="n"/>
      <c r="G65" s="17" t="n"/>
      <c r="H65" s="17" t="n"/>
      <c r="I65" s="4" t="inlineStr">
        <is>
          <t>mm</t>
        </is>
      </c>
      <c r="J65" s="4" t="inlineStr">
        <is>
          <t>sizing-grade</t>
        </is>
      </c>
      <c r="K65" s="4" t="inlineStr">
        <is>
          <t>I</t>
        </is>
      </c>
      <c r="L65" s="4" t="inlineStr">
        <is>
          <t>600 H × 300 W × 150 D, cross-flow, 300 mm air path</t>
        </is>
      </c>
      <c r="M65" s="4" t="inlineStr">
        <is>
          <t>11 §2</t>
        </is>
      </c>
    </row>
    <row r="66">
      <c r="A66" s="3" t="inlineStr">
        <is>
          <t>LQ-051</t>
        </is>
      </c>
      <c r="B66" s="4" t="inlineStr">
        <is>
          <t>Liquid</t>
        </is>
      </c>
      <c r="C66" s="4" t="inlineStr">
        <is>
          <t>Contactor</t>
        </is>
      </c>
      <c r="D66" s="4" t="inlineStr">
        <is>
          <t>Cell rated capacity</t>
        </is>
      </c>
      <c r="E66" s="4" t="inlineStr">
        <is>
          <t>ṁ_cell</t>
        </is>
      </c>
      <c r="F66" s="17" t="n"/>
      <c r="G66" s="17" t="n">
        <v>0.4</v>
      </c>
      <c r="H66" s="17" t="n">
        <v>0.8</v>
      </c>
      <c r="I66" s="4" t="inlineStr">
        <is>
          <t>kg/h</t>
        </is>
      </c>
      <c r="J66" s="4" t="inlineStr">
        <is>
          <t>PENDING I</t>
        </is>
      </c>
      <c r="K66" s="4" t="inlineStr">
        <is>
          <t>I</t>
        </is>
      </c>
      <c r="L66" s="4" t="inlineStr">
        <is>
          <t>At 0.6–1 m/s face velocity — the band test I closes</t>
        </is>
      </c>
      <c r="M66" s="4" t="inlineStr">
        <is>
          <t>11 §2</t>
        </is>
      </c>
    </row>
    <row r="67">
      <c r="A67" s="3" t="inlineStr">
        <is>
          <t>LQ-052</t>
        </is>
      </c>
      <c r="B67" s="4" t="inlineStr">
        <is>
          <t>Liquid</t>
        </is>
      </c>
      <c r="C67" s="4" t="inlineStr">
        <is>
          <t>Contactor</t>
        </is>
      </c>
      <c r="D67" s="4" t="inlineStr">
        <is>
          <t>Face velocity, design band</t>
        </is>
      </c>
      <c r="E67" s="4" t="inlineStr">
        <is>
          <t>v_face</t>
        </is>
      </c>
      <c r="F67" s="17" t="n"/>
      <c r="G67" s="17" t="n">
        <v>0.6</v>
      </c>
      <c r="H67" s="17" t="n">
        <v>1</v>
      </c>
      <c r="I67" s="4" t="inlineStr">
        <is>
          <t>m/s</t>
        </is>
      </c>
      <c r="J67" s="4" t="inlineStr">
        <is>
          <t>sizing-grade</t>
        </is>
      </c>
      <c r="K67" s="4" t="inlineStr">
        <is>
          <t>I</t>
        </is>
      </c>
      <c r="L67" s="4" t="inlineStr"/>
      <c r="M67" s="4" t="inlineStr">
        <is>
          <t>11 §2</t>
        </is>
      </c>
    </row>
    <row r="68">
      <c r="A68" s="3" t="inlineStr">
        <is>
          <t>LQ-053</t>
        </is>
      </c>
      <c r="B68" s="4" t="inlineStr">
        <is>
          <t>Liquid</t>
        </is>
      </c>
      <c r="C68" s="4" t="inlineStr">
        <is>
          <t>Contactor</t>
        </is>
      </c>
      <c r="D68" s="4" t="inlineStr">
        <is>
          <t>Irrigation rate per cell</t>
        </is>
      </c>
      <c r="E68" s="4" t="inlineStr">
        <is>
          <t>V̇_irr</t>
        </is>
      </c>
      <c r="F68" s="17" t="n"/>
      <c r="G68" s="17" t="n">
        <v>7</v>
      </c>
      <c r="H68" s="17" t="n">
        <v>11</v>
      </c>
      <c r="I68" s="4" t="inlineStr">
        <is>
          <t>L/min</t>
        </is>
      </c>
      <c r="J68" s="4" t="inlineStr">
        <is>
          <t>sizing-grade</t>
        </is>
      </c>
      <c r="K68" s="4" t="inlineStr">
        <is>
          <t>I</t>
        </is>
      </c>
      <c r="L68" s="4" t="inlineStr">
        <is>
          <t>150–240 L/min·m²; underwetting collapses K·a nonlinearly</t>
        </is>
      </c>
      <c r="M68" s="4" t="inlineStr">
        <is>
          <t>11 §2</t>
        </is>
      </c>
    </row>
    <row r="69">
      <c r="A69" s="3" t="inlineStr">
        <is>
          <t>LQ-054</t>
        </is>
      </c>
      <c r="B69" s="4" t="inlineStr">
        <is>
          <t>Liquid</t>
        </is>
      </c>
      <c r="C69" s="4" t="inlineStr">
        <is>
          <t>Contactor</t>
        </is>
      </c>
      <c r="D69" s="4" t="inlineStr">
        <is>
          <t>Internal recirculation ratio</t>
        </is>
      </c>
      <c r="E69" s="4" t="inlineStr">
        <is>
          <t>—</t>
        </is>
      </c>
      <c r="F69" s="17" t="n">
        <v>50</v>
      </c>
      <c r="G69" s="17" t="n"/>
      <c r="H69" s="17" t="n"/>
      <c r="I69" s="4" t="inlineStr">
        <is>
          <t>passes</t>
        </is>
      </c>
      <c r="J69" s="4" t="inlineStr">
        <is>
          <t>sizing-grade</t>
        </is>
      </c>
      <c r="K69" s="4" t="inlineStr">
        <is>
          <t>I</t>
        </is>
      </c>
      <c r="L69" s="4" t="inlineStr">
        <is>
          <t>Per unit concentration change — floor set by sump, not per-pass</t>
        </is>
      </c>
      <c r="M69" s="4" t="inlineStr">
        <is>
          <t>11 §2</t>
        </is>
      </c>
    </row>
    <row r="70">
      <c r="A70" s="3" t="inlineStr">
        <is>
          <t>LQ-055</t>
        </is>
      </c>
      <c r="B70" s="4" t="inlineStr">
        <is>
          <t>Liquid</t>
        </is>
      </c>
      <c r="C70" s="4" t="inlineStr">
        <is>
          <t>Contactor</t>
        </is>
      </c>
      <c r="D70" s="4" t="inlineStr">
        <is>
          <t>Mass-transfer coefficient (literature)</t>
        </is>
      </c>
      <c r="E70" s="4" t="inlineStr">
        <is>
          <t>K·a</t>
        </is>
      </c>
      <c r="F70" s="17" t="n"/>
      <c r="G70" s="17" t="n">
        <v>1</v>
      </c>
      <c r="H70" s="17" t="n">
        <v>3</v>
      </c>
      <c r="I70" s="4" t="inlineStr">
        <is>
          <t>kg/m³·s</t>
        </is>
      </c>
      <c r="J70" s="4" t="inlineStr">
        <is>
          <t>PENDING I</t>
        </is>
      </c>
      <c r="K70" s="4" t="inlineStr">
        <is>
          <t>I</t>
        </is>
      </c>
      <c r="L70" s="4" t="inlineStr">
        <is>
          <t>Spread sets contactor depth at 1–3 stages</t>
        </is>
      </c>
      <c r="M70" s="4" t="inlineStr">
        <is>
          <t>12 §3</t>
        </is>
      </c>
    </row>
    <row r="71">
      <c r="A71" s="3" t="inlineStr">
        <is>
          <t>LQ-056</t>
        </is>
      </c>
      <c r="B71" s="4" t="inlineStr">
        <is>
          <t>Liquid</t>
        </is>
      </c>
      <c r="C71" s="4" t="inlineStr">
        <is>
          <t>Contactor</t>
        </is>
      </c>
      <c r="D71" s="4" t="inlineStr">
        <is>
          <t>NTU for 85% approach</t>
        </is>
      </c>
      <c r="E71" s="4" t="inlineStr">
        <is>
          <t>NTU</t>
        </is>
      </c>
      <c r="F71" s="17" t="n">
        <v>1.9</v>
      </c>
      <c r="G71" s="17" t="n"/>
      <c r="H71" s="17" t="n"/>
      <c r="I71" s="4" t="inlineStr">
        <is>
          <t>—</t>
        </is>
      </c>
      <c r="J71" s="4" t="inlineStr">
        <is>
          <t>sizing-grade</t>
        </is>
      </c>
      <c r="K71" s="4" t="inlineStr">
        <is>
          <t>I</t>
        </is>
      </c>
      <c r="L71" s="4" t="inlineStr">
        <is>
          <t>Central estimate two 300 mm stages; conservative three</t>
        </is>
      </c>
      <c r="M71" s="4" t="inlineStr">
        <is>
          <t>11 §2</t>
        </is>
      </c>
    </row>
    <row r="72">
      <c r="A72" s="3" t="inlineStr">
        <is>
          <t>LQ-057</t>
        </is>
      </c>
      <c r="B72" s="4" t="inlineStr">
        <is>
          <t>Liquid</t>
        </is>
      </c>
      <c r="C72" s="4" t="inlineStr">
        <is>
          <t>Contactor</t>
        </is>
      </c>
      <c r="D72" s="4" t="inlineStr">
        <is>
          <t>Cabinet envelope</t>
        </is>
      </c>
      <c r="E72" s="4" t="inlineStr">
        <is>
          <t>L×W×H</t>
        </is>
      </c>
      <c r="F72" s="17" t="n"/>
      <c r="G72" s="17" t="n"/>
      <c r="H72" s="17" t="n"/>
      <c r="I72" s="4" t="inlineStr">
        <is>
          <t>m</t>
        </is>
      </c>
      <c r="J72" s="4" t="inlineStr">
        <is>
          <t>sizing-grade</t>
        </is>
      </c>
      <c r="K72" s="4" t="inlineStr"/>
      <c r="L72" s="4" t="inlineStr">
        <is>
          <t>0.25 × 0.25 × 1.1 — slim-locker/closet class</t>
        </is>
      </c>
      <c r="M72" s="4" t="inlineStr">
        <is>
          <t>11 §2</t>
        </is>
      </c>
    </row>
    <row r="73">
      <c r="A73" s="3" t="inlineStr">
        <is>
          <t>LQ-058</t>
        </is>
      </c>
      <c r="B73" s="4" t="inlineStr">
        <is>
          <t>Liquid</t>
        </is>
      </c>
      <c r="C73" s="4" t="inlineStr">
        <is>
          <t>Contactor</t>
        </is>
      </c>
      <c r="D73" s="4" t="inlineStr">
        <is>
          <t>Air-side ΔP, dry fill</t>
        </is>
      </c>
      <c r="E73" s="4" t="inlineStr">
        <is>
          <t>ΔP</t>
        </is>
      </c>
      <c r="F73" s="17" t="n"/>
      <c r="G73" s="17" t="n">
        <v>20</v>
      </c>
      <c r="H73" s="17" t="n">
        <v>40</v>
      </c>
      <c r="I73" s="4" t="inlineStr">
        <is>
          <t>Pa</t>
        </is>
      </c>
      <c r="J73" s="4" t="inlineStr">
        <is>
          <t>sizing-grade</t>
        </is>
      </c>
      <c r="K73" s="4" t="inlineStr">
        <is>
          <t>I</t>
        </is>
      </c>
      <c r="L73" s="4" t="inlineStr">
        <is>
          <t>Turndown state (brine valved off)</t>
        </is>
      </c>
      <c r="M73" s="4" t="inlineStr">
        <is>
          <t>11 §2</t>
        </is>
      </c>
    </row>
    <row r="74">
      <c r="A74" s="3" t="inlineStr">
        <is>
          <t>LQ-059</t>
        </is>
      </c>
      <c r="B74" s="4" t="inlineStr">
        <is>
          <t>Liquid</t>
        </is>
      </c>
      <c r="C74" s="4" t="inlineStr">
        <is>
          <t>Contactor</t>
        </is>
      </c>
      <c r="D74" s="4" t="inlineStr">
        <is>
          <t>Air-side ΔP, film (trickle) mode</t>
        </is>
      </c>
      <c r="E74" s="4" t="inlineStr">
        <is>
          <t>ΔP</t>
        </is>
      </c>
      <c r="F74" s="17" t="n"/>
      <c r="G74" s="17" t="n">
        <v>5</v>
      </c>
      <c r="H74" s="17" t="n">
        <v>100</v>
      </c>
      <c r="I74" s="4" t="inlineStr">
        <is>
          <t>Pa</t>
        </is>
      </c>
      <c r="J74" s="4" t="inlineStr">
        <is>
          <t>sizing-grade</t>
        </is>
      </c>
      <c r="K74" s="4" t="inlineStr">
        <is>
          <t>I</t>
        </is>
      </c>
      <c r="L74" s="4" t="inlineStr">
        <is>
          <t>vs 1.4–2.8 kPa for bubble columns — the ~90% electrical cut</t>
        </is>
      </c>
      <c r="M74" s="4" t="inlineStr">
        <is>
          <t>10 §4</t>
        </is>
      </c>
    </row>
    <row r="75">
      <c r="A75" s="3" t="inlineStr">
        <is>
          <t>LQ-060</t>
        </is>
      </c>
      <c r="B75" s="4" t="inlineStr">
        <is>
          <t>Liquid</t>
        </is>
      </c>
      <c r="C75" s="4" t="inlineStr">
        <is>
          <t>Contactor</t>
        </is>
      </c>
      <c r="D75" s="4" t="inlineStr">
        <is>
          <t>Air-side ΔP, flooded (storm) mode</t>
        </is>
      </c>
      <c r="E75" s="4" t="inlineStr">
        <is>
          <t>ΔP</t>
        </is>
      </c>
      <c r="F75" s="17" t="n"/>
      <c r="G75" s="17" t="n">
        <v>100</v>
      </c>
      <c r="H75" s="17" t="n">
        <v>300</v>
      </c>
      <c r="I75" s="4" t="inlineStr">
        <is>
          <t>Pa</t>
        </is>
      </c>
      <c r="J75" s="4" t="inlineStr">
        <is>
          <t>sizing-grade</t>
        </is>
      </c>
      <c r="K75" s="4" t="inlineStr">
        <is>
          <t>I</t>
        </is>
      </c>
      <c r="L75" s="4" t="inlineStr">
        <is>
          <t>Level setpoint, not a gimbal; pool-class tilt tolerance</t>
        </is>
      </c>
      <c r="M75" s="4" t="inlineStr">
        <is>
          <t>11 §2</t>
        </is>
      </c>
    </row>
    <row r="76">
      <c r="A76" s="3" t="inlineStr">
        <is>
          <t>LQ-061</t>
        </is>
      </c>
      <c r="B76" s="4" t="inlineStr">
        <is>
          <t>Liquid</t>
        </is>
      </c>
      <c r="C76" s="4" t="inlineStr">
        <is>
          <t>Contactor</t>
        </is>
      </c>
      <c r="D76" s="4" t="inlineStr">
        <is>
          <t>Drift-eliminator carryover</t>
        </is>
      </c>
      <c r="E76" s="4" t="inlineStr">
        <is>
          <t>—</t>
        </is>
      </c>
      <c r="F76" s="17" t="n"/>
      <c r="G76" s="17" t="n">
        <v>0.001</v>
      </c>
      <c r="H76" s="17" t="n">
        <v>0.005</v>
      </c>
      <c r="I76" s="4" t="inlineStr">
        <is>
          <t>% of liquid</t>
        </is>
      </c>
      <c r="J76" s="4" t="inlineStr">
        <is>
          <t>procurement-grade</t>
        </is>
      </c>
      <c r="K76" s="4" t="inlineStr">
        <is>
          <t>B</t>
        </is>
      </c>
      <c r="L76" s="4" t="inlineStr">
        <is>
          <t>Chevron PVC; then PP mesh demister. No metal mesh at any grade</t>
        </is>
      </c>
      <c r="M76" s="4" t="inlineStr">
        <is>
          <t>11 §3</t>
        </is>
      </c>
    </row>
    <row r="77">
      <c r="A77" s="3" t="inlineStr">
        <is>
          <t>LQ-062</t>
        </is>
      </c>
      <c r="B77" s="4" t="inlineStr">
        <is>
          <t>Liquid</t>
        </is>
      </c>
      <c r="C77" s="4" t="inlineStr">
        <is>
          <t>Regenerator</t>
        </is>
      </c>
      <c r="D77" s="4" t="inlineStr">
        <is>
          <t>Sealed still pool area</t>
        </is>
      </c>
      <c r="E77" s="4" t="inlineStr">
        <is>
          <t>A_pool</t>
        </is>
      </c>
      <c r="F77" s="17" t="n"/>
      <c r="G77" s="17" t="n">
        <v>0.3</v>
      </c>
      <c r="H77" s="17" t="n">
        <v>0.5</v>
      </c>
      <c r="I77" s="4" t="inlineStr">
        <is>
          <t>m²</t>
        </is>
      </c>
      <c r="J77" s="4" t="inlineStr">
        <is>
          <t>sizing-grade</t>
        </is>
      </c>
      <c r="K77" s="4" t="inlineStr">
        <is>
          <t>G</t>
        </is>
      </c>
      <c r="L77" s="4" t="inlineStr">
        <is>
          <t>Shallow HDPE/PP/CPVC tray, lid sloped ≥15°</t>
        </is>
      </c>
      <c r="M77" s="4" t="inlineStr">
        <is>
          <t>11 §4</t>
        </is>
      </c>
    </row>
    <row r="78">
      <c r="A78" s="3" t="inlineStr">
        <is>
          <t>LQ-063</t>
        </is>
      </c>
      <c r="B78" s="4" t="inlineStr">
        <is>
          <t>Liquid</t>
        </is>
      </c>
      <c r="C78" s="4" t="inlineStr">
        <is>
          <t>Regenerator</t>
        </is>
      </c>
      <c r="D78" s="4" t="inlineStr">
        <is>
          <t>Sealed still specific rate</t>
        </is>
      </c>
      <c r="E78" s="4" t="inlineStr">
        <is>
          <t>ṁ"</t>
        </is>
      </c>
      <c r="F78" s="17" t="n"/>
      <c r="G78" s="17" t="n">
        <v>1</v>
      </c>
      <c r="H78" s="17" t="n">
        <v>2</v>
      </c>
      <c r="I78" s="4" t="inlineStr">
        <is>
          <t>kg/h·m²</t>
        </is>
      </c>
      <c r="J78" s="4" t="inlineStr">
        <is>
          <t>PENDING G</t>
        </is>
      </c>
      <c r="K78" s="4" t="inlineStr">
        <is>
          <t>G</t>
        </is>
      </c>
      <c r="L78" s="4" t="inlineStr">
        <is>
          <t>At design ΔT</t>
        </is>
      </c>
      <c r="M78" s="4" t="inlineStr">
        <is>
          <t>11 §4</t>
        </is>
      </c>
    </row>
    <row r="79">
      <c r="A79" s="3" t="inlineStr">
        <is>
          <t>LQ-064</t>
        </is>
      </c>
      <c r="B79" s="4" t="inlineStr">
        <is>
          <t>Liquid</t>
        </is>
      </c>
      <c r="C79" s="4" t="inlineStr">
        <is>
          <t>Regenerator</t>
        </is>
      </c>
      <c r="D79" s="4" t="inlineStr">
        <is>
          <t>Still tray footprint at 0.9 kg/h</t>
        </is>
      </c>
      <c r="E79" s="4" t="inlineStr">
        <is>
          <t>A_pool</t>
        </is>
      </c>
      <c r="F79" s="17" t="n"/>
      <c r="G79" s="17" t="n">
        <v>0.5</v>
      </c>
      <c r="H79" s="17" t="n">
        <v>0.9</v>
      </c>
      <c r="I79" s="4" t="inlineStr">
        <is>
          <t>m²</t>
        </is>
      </c>
      <c r="J79" s="4" t="inlineStr">
        <is>
          <t>sizing-grade</t>
        </is>
      </c>
      <c r="K79" s="4" t="inlineStr">
        <is>
          <t>G</t>
        </is>
      </c>
      <c r="L79" s="4" t="inlineStr"/>
      <c r="M79" s="4" t="inlineStr">
        <is>
          <t>12 §1</t>
        </is>
      </c>
    </row>
    <row r="80">
      <c r="A80" s="3" t="inlineStr">
        <is>
          <t>LQ-065</t>
        </is>
      </c>
      <c r="B80" s="4" t="inlineStr">
        <is>
          <t>Liquid</t>
        </is>
      </c>
      <c r="C80" s="4" t="inlineStr">
        <is>
          <t>Regenerator</t>
        </is>
      </c>
      <c r="D80" s="4" t="inlineStr">
        <is>
          <t>Pool vapour pressure, 60–93 °C</t>
        </is>
      </c>
      <c r="E80" s="4" t="inlineStr">
        <is>
          <t>P_v</t>
        </is>
      </c>
      <c r="F80" s="17" t="n"/>
      <c r="G80" s="17" t="n">
        <v>14</v>
      </c>
      <c r="H80" s="17" t="n">
        <v>70</v>
      </c>
      <c r="I80" s="4" t="inlineStr">
        <is>
          <t>kPa</t>
        </is>
      </c>
      <c r="J80" s="4" t="inlineStr">
        <is>
          <t>reference</t>
        </is>
      </c>
      <c r="K80" s="4" t="inlineStr"/>
      <c r="L80" s="4" t="inlineStr">
        <is>
          <t>vs sink-cooled condenser 4–5 kPa → ΔPv 10–65 kPa (X2)</t>
        </is>
      </c>
      <c r="M80" s="4" t="inlineStr">
        <is>
          <t>11 §4</t>
        </is>
      </c>
    </row>
    <row r="81">
      <c r="A81" s="3" t="inlineStr">
        <is>
          <t>LQ-066</t>
        </is>
      </c>
      <c r="B81" s="4" t="inlineStr">
        <is>
          <t>Liquid</t>
        </is>
      </c>
      <c r="C81" s="4" t="inlineStr">
        <is>
          <t>Regenerator</t>
        </is>
      </c>
      <c r="D81" s="4" t="inlineStr">
        <is>
          <t>Condenser vapour pressure</t>
        </is>
      </c>
      <c r="E81" s="4" t="inlineStr">
        <is>
          <t>P_v</t>
        </is>
      </c>
      <c r="F81" s="17" t="n"/>
      <c r="G81" s="17" t="n">
        <v>4</v>
      </c>
      <c r="H81" s="17" t="n">
        <v>5</v>
      </c>
      <c r="I81" s="4" t="inlineStr">
        <is>
          <t>kPa</t>
        </is>
      </c>
      <c r="J81" s="4" t="inlineStr">
        <is>
          <t>reference</t>
        </is>
      </c>
      <c r="K81" s="4" t="inlineStr"/>
      <c r="L81" s="4" t="inlineStr">
        <is>
          <t>Sink-cooled at 29 °C</t>
        </is>
      </c>
      <c r="M81" s="4" t="inlineStr">
        <is>
          <t>11 §4</t>
        </is>
      </c>
    </row>
    <row r="82">
      <c r="A82" s="3" t="inlineStr">
        <is>
          <t>LQ-067</t>
        </is>
      </c>
      <c r="B82" s="4" t="inlineStr">
        <is>
          <t>Liquid</t>
        </is>
      </c>
      <c r="C82" s="4" t="inlineStr">
        <is>
          <t>Regenerator</t>
        </is>
      </c>
      <c r="D82" s="4" t="inlineStr">
        <is>
          <t>Pool temperature band</t>
        </is>
      </c>
      <c r="E82" s="4" t="inlineStr">
        <is>
          <t>T_pool</t>
        </is>
      </c>
      <c r="F82" s="17" t="n"/>
      <c r="G82" s="17" t="n">
        <v>60</v>
      </c>
      <c r="H82" s="17" t="n">
        <v>93</v>
      </c>
      <c r="I82" s="4" t="inlineStr">
        <is>
          <t>°C</t>
        </is>
      </c>
      <c r="J82" s="4" t="inlineStr">
        <is>
          <t>sizing-grade</t>
        </is>
      </c>
      <c r="K82" s="4" t="inlineStr">
        <is>
          <t>D</t>
        </is>
      </c>
      <c r="L82" s="4" t="inlineStr">
        <is>
          <t>Rate lever, not an equilibrium wall (X2)</t>
        </is>
      </c>
      <c r="M82" s="4" t="inlineStr">
        <is>
          <t>11 §4</t>
        </is>
      </c>
    </row>
    <row r="83">
      <c r="A83" s="3" t="inlineStr">
        <is>
          <t>LQ-068</t>
        </is>
      </c>
      <c r="B83" s="4" t="inlineStr">
        <is>
          <t>Liquid</t>
        </is>
      </c>
      <c r="C83" s="4" t="inlineStr">
        <is>
          <t>Regenerator</t>
        </is>
      </c>
      <c r="D83" s="4" t="inlineStr">
        <is>
          <t>Still rate multiplier at 93 °C</t>
        </is>
      </c>
      <c r="E83" s="4" t="inlineStr">
        <is>
          <t>—</t>
        </is>
      </c>
      <c r="F83" s="17" t="n">
        <v>1.45</v>
      </c>
      <c r="G83" s="17" t="n"/>
      <c r="H83" s="17" t="n"/>
      <c r="I83" s="4" t="inlineStr">
        <is>
          <t>× (85 °C)</t>
        </is>
      </c>
      <c r="J83" s="4" t="inlineStr">
        <is>
          <t>sizing-grade</t>
        </is>
      </c>
      <c r="K83" s="4" t="inlineStr">
        <is>
          <t>D</t>
        </is>
      </c>
      <c r="L83" s="4" t="inlineStr">
        <is>
          <t>CPVC's only unique purchase</t>
        </is>
      </c>
      <c r="M83" s="4" t="inlineStr">
        <is>
          <t>11 §4</t>
        </is>
      </c>
    </row>
    <row r="84">
      <c r="A84" s="3" t="inlineStr">
        <is>
          <t>LQ-069</t>
        </is>
      </c>
      <c r="B84" s="4" t="inlineStr">
        <is>
          <t>Liquid</t>
        </is>
      </c>
      <c r="C84" s="4" t="inlineStr">
        <is>
          <t>Regenerator</t>
        </is>
      </c>
      <c r="D84" s="4" t="inlineStr">
        <is>
          <t>Still rate multiplier at 70 °C</t>
        </is>
      </c>
      <c r="E84" s="4" t="inlineStr">
        <is>
          <t>—</t>
        </is>
      </c>
      <c r="F84" s="17" t="n">
        <v>0.4</v>
      </c>
      <c r="G84" s="17" t="n"/>
      <c r="H84" s="17" t="n"/>
      <c r="I84" s="4" t="inlineStr">
        <is>
          <t>× (85 °C)</t>
        </is>
      </c>
      <c r="J84" s="4" t="inlineStr">
        <is>
          <t>sizing-grade</t>
        </is>
      </c>
      <c r="K84" s="4" t="inlineStr">
        <is>
          <t>D</t>
        </is>
      </c>
      <c r="L84" s="4" t="inlineStr">
        <is>
          <t>PP / HDPE legal</t>
        </is>
      </c>
      <c r="M84" s="4" t="inlineStr">
        <is>
          <t>11 §4</t>
        </is>
      </c>
    </row>
    <row r="85">
      <c r="A85" s="3" t="inlineStr">
        <is>
          <t>LQ-070</t>
        </is>
      </c>
      <c r="B85" s="4" t="inlineStr">
        <is>
          <t>Liquid</t>
        </is>
      </c>
      <c r="C85" s="4" t="inlineStr">
        <is>
          <t>Regenerator</t>
        </is>
      </c>
      <c r="D85" s="4" t="inlineStr">
        <is>
          <t>Still rate multiplier at 60 °C</t>
        </is>
      </c>
      <c r="E85" s="4" t="inlineStr">
        <is>
          <t>—</t>
        </is>
      </c>
      <c r="F85" s="17" t="n"/>
      <c r="G85" s="17" t="n">
        <v>0.1</v>
      </c>
      <c r="H85" s="17" t="n">
        <v>0.17</v>
      </c>
      <c r="I85" s="4" t="inlineStr">
        <is>
          <t>× (85 °C)</t>
        </is>
      </c>
      <c r="J85" s="4" t="inlineStr">
        <is>
          <t>sizing-grade</t>
        </is>
      </c>
      <c r="K85" s="4" t="inlineStr">
        <is>
          <t>D</t>
        </is>
      </c>
      <c r="L85" s="4" t="inlineStr">
        <is>
          <t>PVC (non-pressurized tray); holds mothball / 2-person duty</t>
        </is>
      </c>
      <c r="M85" s="4" t="inlineStr">
        <is>
          <t>11 §4</t>
        </is>
      </c>
    </row>
    <row r="86">
      <c r="A86" s="3" t="inlineStr">
        <is>
          <t>LQ-071</t>
        </is>
      </c>
      <c r="B86" s="4" t="inlineStr">
        <is>
          <t>Liquid</t>
        </is>
      </c>
      <c r="C86" s="4" t="inlineStr">
        <is>
          <t>Regenerator</t>
        </is>
      </c>
      <c r="D86" s="4" t="inlineStr">
        <is>
          <t>Air-swept exhaust humidity (degraded)</t>
        </is>
      </c>
      <c r="E86" s="4" t="inlineStr">
        <is>
          <t>ω_exh</t>
        </is>
      </c>
      <c r="F86" s="17" t="n">
        <v>98</v>
      </c>
      <c r="G86" s="17" t="n"/>
      <c r="H86" s="17" t="n"/>
      <c r="I86" s="4" t="inlineStr">
        <is>
          <t>g/kg</t>
        </is>
      </c>
      <c r="J86" s="4" t="inlineStr">
        <is>
          <t>sizing-grade</t>
        </is>
      </c>
      <c r="K86" s="4" t="inlineStr">
        <is>
          <t>G</t>
        </is>
      </c>
      <c r="L86" s="4" t="inlineStr">
        <is>
          <t>Dew point 53 °C — rains salty condensate below that (erratum 6)</t>
        </is>
      </c>
      <c r="M86" s="4" t="inlineStr">
        <is>
          <t>12 §1</t>
        </is>
      </c>
    </row>
    <row r="87">
      <c r="A87" s="3" t="inlineStr">
        <is>
          <t>LQ-072</t>
        </is>
      </c>
      <c r="B87" s="4" t="inlineStr">
        <is>
          <t>Liquid</t>
        </is>
      </c>
      <c r="C87" s="4" t="inlineStr">
        <is>
          <t>Regenerator</t>
        </is>
      </c>
      <c r="D87" s="4" t="inlineStr">
        <is>
          <t>Air-swept condenser recovery</t>
        </is>
      </c>
      <c r="E87" s="4" t="inlineStr">
        <is>
          <t>Δω</t>
        </is>
      </c>
      <c r="F87" s="17" t="n">
        <v>64</v>
      </c>
      <c r="G87" s="17" t="n"/>
      <c r="H87" s="17" t="n"/>
      <c r="I87" s="4" t="inlineStr">
        <is>
          <t>g/kg</t>
        </is>
      </c>
      <c r="J87" s="4" t="inlineStr">
        <is>
          <t>sizing-grade</t>
        </is>
      </c>
      <c r="K87" s="4" t="inlineStr">
        <is>
          <t>G</t>
        </is>
      </c>
      <c r="L87" s="4" t="inlineStr">
        <is>
          <t>At 34 °C approach; condensate technical-grade PENDING TDS</t>
        </is>
      </c>
      <c r="M87" s="4" t="inlineStr">
        <is>
          <t>12 §1</t>
        </is>
      </c>
    </row>
    <row r="88">
      <c r="A88" s="3" t="inlineStr">
        <is>
          <t>LQ-073</t>
        </is>
      </c>
      <c r="B88" s="4" t="inlineStr">
        <is>
          <t>Liquid</t>
        </is>
      </c>
      <c r="C88" s="4" t="inlineStr">
        <is>
          <t>Cooling</t>
        </is>
      </c>
      <c r="D88" s="4" t="inlineStr">
        <is>
          <t>Raw-water flow, base</t>
        </is>
      </c>
      <c r="E88" s="4" t="inlineStr">
        <is>
          <t>V̇_rw</t>
        </is>
      </c>
      <c r="F88" s="17" t="n">
        <v>300</v>
      </c>
      <c r="G88" s="17" t="n"/>
      <c r="H88" s="17" t="n"/>
      <c r="I88" s="4" t="inlineStr">
        <is>
          <t>L/h</t>
        </is>
      </c>
      <c r="J88" s="4" t="inlineStr">
        <is>
          <t>sizing-grade</t>
        </is>
      </c>
      <c r="K88" s="4" t="inlineStr"/>
      <c r="L88" s="4" t="inlineStr">
        <is>
          <t>0.66 kW rejection at 2 K rise</t>
        </is>
      </c>
      <c r="M88" s="4" t="inlineStr">
        <is>
          <t>12 §1</t>
        </is>
      </c>
    </row>
    <row r="89">
      <c r="A89" s="3" t="inlineStr">
        <is>
          <t>LQ-074</t>
        </is>
      </c>
      <c r="B89" s="4" t="inlineStr">
        <is>
          <t>Liquid</t>
        </is>
      </c>
      <c r="C89" s="4" t="inlineStr">
        <is>
          <t>Cooling</t>
        </is>
      </c>
      <c r="D89" s="4" t="inlineStr">
        <is>
          <t>Raw-water flow, heat-rich</t>
        </is>
      </c>
      <c r="E89" s="4" t="inlineStr">
        <is>
          <t>V̇_rw</t>
        </is>
      </c>
      <c r="F89" s="17" t="n"/>
      <c r="G89" s="17" t="n">
        <v>600</v>
      </c>
      <c r="H89" s="17" t="n">
        <v>900</v>
      </c>
      <c r="I89" s="4" t="inlineStr">
        <is>
          <t>L/h</t>
        </is>
      </c>
      <c r="J89" s="4" t="inlineStr">
        <is>
          <t>sizing-grade</t>
        </is>
      </c>
      <c r="K89" s="4" t="inlineStr"/>
      <c r="L89" s="4" t="inlineStr">
        <is>
          <t>Up to ~2 kW rejection</t>
        </is>
      </c>
      <c r="M89" s="4" t="inlineStr">
        <is>
          <t>12 §1</t>
        </is>
      </c>
    </row>
    <row r="90">
      <c r="A90" s="3" t="inlineStr">
        <is>
          <t>LQ-075</t>
        </is>
      </c>
      <c r="B90" s="4" t="inlineStr">
        <is>
          <t>Liquid</t>
        </is>
      </c>
      <c r="C90" s="4" t="inlineStr">
        <is>
          <t>Cooling</t>
        </is>
      </c>
      <c r="D90" s="4" t="inlineStr">
        <is>
          <t>Floor penalty of 3–4 K rise</t>
        </is>
      </c>
      <c r="E90" s="4" t="inlineStr">
        <is>
          <t>Δω</t>
        </is>
      </c>
      <c r="F90" s="17" t="n">
        <v>1</v>
      </c>
      <c r="G90" s="17" t="n"/>
      <c r="H90" s="17" t="n"/>
      <c r="I90" s="4" t="inlineStr">
        <is>
          <t>g/kg</t>
        </is>
      </c>
      <c r="J90" s="4" t="inlineStr">
        <is>
          <t>sizing-grade</t>
        </is>
      </c>
      <c r="K90" s="4" t="inlineStr"/>
      <c r="L90" s="4" t="inlineStr">
        <is>
          <t>Halves raw-water flow — the trade is explicit</t>
        </is>
      </c>
      <c r="M90" s="4" t="inlineStr">
        <is>
          <t>11 §8</t>
        </is>
      </c>
    </row>
    <row r="91">
      <c r="A91" s="3" t="inlineStr">
        <is>
          <t>LQ-076</t>
        </is>
      </c>
      <c r="B91" s="4" t="inlineStr">
        <is>
          <t>Liquid</t>
        </is>
      </c>
      <c r="C91" s="4" t="inlineStr">
        <is>
          <t>Electrical</t>
        </is>
      </c>
      <c r="D91" s="4" t="inlineStr">
        <is>
          <t>Total electrical, film primary (initial)</t>
        </is>
      </c>
      <c r="E91" s="4" t="inlineStr">
        <is>
          <t>P_e</t>
        </is>
      </c>
      <c r="F91" s="17" t="n"/>
      <c r="G91" s="17" t="n">
        <v>25</v>
      </c>
      <c r="H91" s="17" t="n">
        <v>50</v>
      </c>
      <c r="I91" s="4" t="inlineStr">
        <is>
          <t>W</t>
        </is>
      </c>
      <c r="J91" s="4" t="inlineStr">
        <is>
          <t>sizing-grade</t>
        </is>
      </c>
      <c r="K91" s="4" t="inlineStr"/>
      <c r="L91" s="4" t="inlineStr">
        <is>
          <t>Fans 25–40 + recirc 15–30 + raw water 5–15 + peristaltic</t>
        </is>
      </c>
      <c r="M91" s="4" t="inlineStr">
        <is>
          <t>12 §1</t>
        </is>
      </c>
    </row>
    <row r="92">
      <c r="A92" s="3" t="inlineStr">
        <is>
          <t>LQ-077</t>
        </is>
      </c>
      <c r="B92" s="4" t="inlineStr">
        <is>
          <t>Liquid</t>
        </is>
      </c>
      <c r="C92" s="4" t="inlineStr">
        <is>
          <t>Electrical</t>
        </is>
      </c>
      <c r="D92" s="4" t="inlineStr">
        <is>
          <t>Total electrical, film primary (scaled)</t>
        </is>
      </c>
      <c r="E92" s="4" t="inlineStr">
        <is>
          <t>P_e</t>
        </is>
      </c>
      <c r="F92" s="17" t="n"/>
      <c r="G92" s="17" t="n">
        <v>50</v>
      </c>
      <c r="H92" s="17" t="n">
        <v>80</v>
      </c>
      <c r="I92" s="4" t="inlineStr">
        <is>
          <t>W</t>
        </is>
      </c>
      <c r="J92" s="4" t="inlineStr">
        <is>
          <t>sizing-grade</t>
        </is>
      </c>
      <c r="K92" s="4" t="inlineStr"/>
      <c r="L92" s="4" t="inlineStr">
        <is>
          <t>+ ERV / exhaust fan</t>
        </is>
      </c>
      <c r="M92" s="4" t="inlineStr">
        <is>
          <t>12 §1</t>
        </is>
      </c>
    </row>
    <row r="93">
      <c r="A93" s="3" t="inlineStr">
        <is>
          <t>LQ-078</t>
        </is>
      </c>
      <c r="B93" s="4" t="inlineStr">
        <is>
          <t>Liquid</t>
        </is>
      </c>
      <c r="C93" s="4" t="inlineStr">
        <is>
          <t>Electrical</t>
        </is>
      </c>
      <c r="D93" s="4" t="inlineStr">
        <is>
          <t>Raw-water circuit share</t>
        </is>
      </c>
      <c r="E93" s="4" t="inlineStr">
        <is>
          <t>P_e</t>
        </is>
      </c>
      <c r="F93" s="17" t="n"/>
      <c r="G93" s="17" t="n">
        <v>30</v>
      </c>
      <c r="H93" s="17" t="n">
        <v>50</v>
      </c>
      <c r="I93" s="4" t="inlineStr">
        <is>
          <t>W</t>
        </is>
      </c>
      <c r="J93" s="4" t="inlineStr">
        <is>
          <t>sizing-grade</t>
        </is>
      </c>
      <c r="K93" s="4" t="inlineStr"/>
      <c r="L93" s="4" t="inlineStr">
        <is>
          <t>Largest single consumer at scale</t>
        </is>
      </c>
      <c r="M93" s="4" t="inlineStr">
        <is>
          <t>11 §8</t>
        </is>
      </c>
    </row>
    <row r="94">
      <c r="A94" s="3" t="inlineStr">
        <is>
          <t>LQ-079</t>
        </is>
      </c>
      <c r="B94" s="4" t="inlineStr">
        <is>
          <t>Liquid</t>
        </is>
      </c>
      <c r="C94" s="4" t="inlineStr">
        <is>
          <t>Electrical</t>
        </is>
      </c>
      <c r="D94" s="4" t="inlineStr">
        <is>
          <t>Column annex, drilled rings</t>
        </is>
      </c>
      <c r="E94" s="4" t="inlineStr">
        <is>
          <t>P_e</t>
        </is>
      </c>
      <c r="F94" s="17" t="n"/>
      <c r="G94" s="17" t="n">
        <v>100</v>
      </c>
      <c r="H94" s="17" t="n">
        <v>140</v>
      </c>
      <c r="I94" s="4" t="inlineStr">
        <is>
          <t>W</t>
        </is>
      </c>
      <c r="J94" s="4" t="inlineStr">
        <is>
          <t>sizing-grade</t>
        </is>
      </c>
      <c r="K94" s="4" t="inlineStr">
        <is>
          <t>C</t>
        </is>
      </c>
      <c r="L94" s="4" t="inlineStr">
        <is>
          <t>The reason columns are the annex, not the primary</t>
        </is>
      </c>
      <c r="M94" s="4" t="inlineStr">
        <is>
          <t>12 §1</t>
        </is>
      </c>
    </row>
    <row r="95">
      <c r="A95" s="3" t="inlineStr">
        <is>
          <t>LQ-080</t>
        </is>
      </c>
      <c r="B95" s="4" t="inlineStr">
        <is>
          <t>Liquid</t>
        </is>
      </c>
      <c r="C95" s="4" t="inlineStr">
        <is>
          <t>Electrical</t>
        </is>
      </c>
      <c r="D95" s="4" t="inlineStr">
        <is>
          <t>Column annex, membrane diffusers</t>
        </is>
      </c>
      <c r="E95" s="4" t="inlineStr">
        <is>
          <t>P_e</t>
        </is>
      </c>
      <c r="F95" s="17" t="n"/>
      <c r="G95" s="17" t="n">
        <v>170</v>
      </c>
      <c r="H95" s="17" t="n">
        <v>380</v>
      </c>
      <c r="I95" s="4" t="inlineStr">
        <is>
          <t>W</t>
        </is>
      </c>
      <c r="J95" s="4" t="inlineStr">
        <is>
          <t>sizing-grade</t>
        </is>
      </c>
      <c r="K95" s="4" t="inlineStr">
        <is>
          <t>C</t>
        </is>
      </c>
      <c r="L95" s="4" t="inlineStr">
        <is>
          <t>Avoid — diffuser dynamic wet pressure (erratum 3)</t>
        </is>
      </c>
      <c r="M95" s="4" t="inlineStr">
        <is>
          <t>12 §1</t>
        </is>
      </c>
    </row>
    <row r="96">
      <c r="A96" s="3" t="inlineStr">
        <is>
          <t>LQ-081</t>
        </is>
      </c>
      <c r="B96" s="4" t="inlineStr">
        <is>
          <t>Liquid</t>
        </is>
      </c>
      <c r="C96" s="4" t="inlineStr">
        <is>
          <t>Columns</t>
        </is>
      </c>
      <c r="D96" s="4" t="inlineStr">
        <is>
          <t>Superficial air velocity limit</t>
        </is>
      </c>
      <c r="E96" s="4" t="inlineStr">
        <is>
          <t>v_s</t>
        </is>
      </c>
      <c r="F96" s="17" t="n">
        <v>0.2</v>
      </c>
      <c r="G96" s="17" t="n"/>
      <c r="H96" s="17" t="n"/>
      <c r="I96" s="4" t="inlineStr">
        <is>
          <t>m/s</t>
        </is>
      </c>
      <c r="J96" s="4" t="inlineStr">
        <is>
          <t>sizing-grade</t>
        </is>
      </c>
      <c r="K96" s="4" t="inlineStr">
        <is>
          <t>C</t>
        </is>
      </c>
      <c r="L96" s="4" t="inlineStr">
        <is>
          <t>→ 13.4 m³/h per 6″ column</t>
        </is>
      </c>
      <c r="M96" s="4" t="inlineStr">
        <is>
          <t>11 §9</t>
        </is>
      </c>
    </row>
    <row r="97">
      <c r="A97" s="3" t="inlineStr">
        <is>
          <t>LQ-082</t>
        </is>
      </c>
      <c r="B97" s="4" t="inlineStr">
        <is>
          <t>Liquid</t>
        </is>
      </c>
      <c r="C97" s="4" t="inlineStr">
        <is>
          <t>Columns</t>
        </is>
      </c>
      <c r="D97" s="4" t="inlineStr">
        <is>
          <t>Sparger static head</t>
        </is>
      </c>
      <c r="E97" s="4" t="inlineStr">
        <is>
          <t>ΔP</t>
        </is>
      </c>
      <c r="F97" s="17" t="n">
        <v>1.37</v>
      </c>
      <c r="G97" s="17" t="n">
        <v>1.35</v>
      </c>
      <c r="H97" s="17" t="n">
        <v>1.4</v>
      </c>
      <c r="I97" s="4" t="inlineStr">
        <is>
          <t>kPa/10 cm</t>
        </is>
      </c>
      <c r="J97" s="4" t="inlineStr">
        <is>
          <t>measured (lit.)</t>
        </is>
      </c>
      <c r="K97" s="4" t="inlineStr">
        <is>
          <t>C</t>
        </is>
      </c>
      <c r="L97" s="4" t="inlineStr">
        <is>
          <t>At SG 1.4 (erratum 7)</t>
        </is>
      </c>
      <c r="M97" s="4" t="inlineStr">
        <is>
          <t>11 §9</t>
        </is>
      </c>
    </row>
    <row r="98">
      <c r="A98" s="3" t="inlineStr">
        <is>
          <t>LQ-083</t>
        </is>
      </c>
      <c r="B98" s="4" t="inlineStr">
        <is>
          <t>Liquid</t>
        </is>
      </c>
      <c r="C98" s="4" t="inlineStr">
        <is>
          <t>Columns</t>
        </is>
      </c>
      <c r="D98" s="4" t="inlineStr">
        <is>
          <t>Membrane diffuser dynamic wet pressure</t>
        </is>
      </c>
      <c r="E98" s="4" t="inlineStr">
        <is>
          <t>ΔP</t>
        </is>
      </c>
      <c r="F98" s="17" t="n"/>
      <c r="G98" s="17" t="n">
        <v>1.5</v>
      </c>
      <c r="H98" s="17" t="n">
        <v>4</v>
      </c>
      <c r="I98" s="4" t="inlineStr">
        <is>
          <t>kPa</t>
        </is>
      </c>
      <c r="J98" s="4" t="inlineStr">
        <is>
          <t>procurement-grade</t>
        </is>
      </c>
      <c r="K98" s="4" t="inlineStr">
        <is>
          <t>C</t>
        </is>
      </c>
      <c r="L98" s="4" t="inlineStr">
        <is>
          <t>Rises with fouling; silently doubles blower watts</t>
        </is>
      </c>
      <c r="M98" s="4" t="inlineStr">
        <is>
          <t>11 §9</t>
        </is>
      </c>
    </row>
    <row r="99">
      <c r="A99" s="3" t="inlineStr">
        <is>
          <t>LQ-084</t>
        </is>
      </c>
      <c r="B99" s="4" t="inlineStr">
        <is>
          <t>Liquid</t>
        </is>
      </c>
      <c r="C99" s="4" t="inlineStr">
        <is>
          <t>Columns</t>
        </is>
      </c>
      <c r="D99" s="4" t="inlineStr">
        <is>
          <t>Drilled-ring sparger ΔP</t>
        </is>
      </c>
      <c r="E99" s="4" t="inlineStr">
        <is>
          <t>ΔP</t>
        </is>
      </c>
      <c r="F99" s="17" t="n"/>
      <c r="G99" s="17" t="n">
        <v>0.3</v>
      </c>
      <c r="H99" s="17" t="n">
        <v>0.5</v>
      </c>
      <c r="I99" s="4" t="inlineStr">
        <is>
          <t>kPa</t>
        </is>
      </c>
      <c r="J99" s="4" t="inlineStr">
        <is>
          <t>sizing-grade</t>
        </is>
      </c>
      <c r="K99" s="4" t="inlineStr">
        <is>
          <t>C</t>
        </is>
      </c>
      <c r="L99" s="4" t="inlineStr">
        <is>
          <t>1 mm holes in CPVC — wins unless approach fraction says otherwise</t>
        </is>
      </c>
      <c r="M99" s="4" t="inlineStr">
        <is>
          <t>11 §9</t>
        </is>
      </c>
    </row>
    <row r="100">
      <c r="A100" s="3" t="inlineStr">
        <is>
          <t>LQ-085</t>
        </is>
      </c>
      <c r="B100" s="4" t="inlineStr">
        <is>
          <t>Liquid</t>
        </is>
      </c>
      <c r="C100" s="4" t="inlineStr">
        <is>
          <t>M-cycle</t>
        </is>
      </c>
      <c r="D100" s="4" t="inlineStr">
        <is>
          <t>Berth-cascade supply temperature</t>
        </is>
      </c>
      <c r="E100" s="4" t="inlineStr">
        <is>
          <t>T_sup</t>
        </is>
      </c>
      <c r="F100" s="17" t="n">
        <v>22.6</v>
      </c>
      <c r="G100" s="17" t="n"/>
      <c r="H100" s="17" t="n"/>
      <c r="I100" s="4" t="inlineStr">
        <is>
          <t>°C</t>
        </is>
      </c>
      <c r="J100" s="4" t="inlineStr">
        <is>
          <t>sizing-grade</t>
        </is>
      </c>
      <c r="K100" s="4" t="inlineStr">
        <is>
          <t>H</t>
        </is>
      </c>
      <c r="L100" s="4" t="inlineStr">
        <is>
          <t>Working air ⅓ drawn from cabin, exhausted saturated ~27 °C</t>
        </is>
      </c>
      <c r="M100" s="4" t="inlineStr">
        <is>
          <t>12 §1</t>
        </is>
      </c>
    </row>
    <row r="101">
      <c r="A101" s="3" t="inlineStr">
        <is>
          <t>LQ-086</t>
        </is>
      </c>
      <c r="B101" s="4" t="inlineStr">
        <is>
          <t>Liquid</t>
        </is>
      </c>
      <c r="C101" s="4" t="inlineStr">
        <is>
          <t>M-cycle</t>
        </is>
      </c>
      <c r="D101" s="4" t="inlineStr">
        <is>
          <t>Berth-cascade sensible output</t>
        </is>
      </c>
      <c r="E101" s="4" t="inlineStr">
        <is>
          <t>Q_out</t>
        </is>
      </c>
      <c r="F101" s="17" t="n">
        <v>102</v>
      </c>
      <c r="G101" s="17" t="n"/>
      <c r="H101" s="17" t="n"/>
      <c r="I101" s="4" t="inlineStr">
        <is>
          <t>W/outlet</t>
        </is>
      </c>
      <c r="J101" s="4" t="inlineStr">
        <is>
          <t>sizing-grade</t>
        </is>
      </c>
      <c r="K101" s="4" t="inlineStr">
        <is>
          <t>H</t>
        </is>
      </c>
      <c r="L101" s="4" t="inlineStr">
        <is>
          <t>vs 86 W for the rejected dry-channel bleed (X5)</t>
        </is>
      </c>
      <c r="M101" s="4" t="inlineStr">
        <is>
          <t>12 §1</t>
        </is>
      </c>
    </row>
    <row r="102">
      <c r="A102" s="3" t="inlineStr">
        <is>
          <t>LQ-087</t>
        </is>
      </c>
      <c r="B102" s="4" t="inlineStr">
        <is>
          <t>Liquid</t>
        </is>
      </c>
      <c r="C102" s="4" t="inlineStr">
        <is>
          <t>M-cycle</t>
        </is>
      </c>
      <c r="D102" s="4" t="inlineStr">
        <is>
          <t>Berth-cascade water draw</t>
        </is>
      </c>
      <c r="E102" s="4" t="inlineStr">
        <is>
          <t>V̇_w</t>
        </is>
      </c>
      <c r="F102" s="17" t="n">
        <v>4.1</v>
      </c>
      <c r="G102" s="17" t="n"/>
      <c r="H102" s="17" t="n"/>
      <c r="I102" s="4" t="inlineStr">
        <is>
          <t>L/day</t>
        </is>
      </c>
      <c r="J102" s="4" t="inlineStr">
        <is>
          <t>sizing-grade</t>
        </is>
      </c>
      <c r="K102" s="4" t="inlineStr">
        <is>
          <t>H</t>
        </is>
      </c>
      <c r="L102" s="4" t="inlineStr">
        <is>
          <t>≤ still distillate — the loop closes</t>
        </is>
      </c>
      <c r="M102" s="4" t="inlineStr">
        <is>
          <t>12 §1</t>
        </is>
      </c>
    </row>
    <row r="103">
      <c r="A103" s="3" t="inlineStr">
        <is>
          <t>LQ-088</t>
        </is>
      </c>
      <c r="B103" s="4" t="inlineStr">
        <is>
          <t>Liquid</t>
        </is>
      </c>
      <c r="C103" s="4" t="inlineStr">
        <is>
          <t>M-cycle</t>
        </is>
      </c>
      <c r="D103" s="4" t="inlineStr">
        <is>
          <t>Dew-point effectiveness</t>
        </is>
      </c>
      <c r="E103" s="4" t="inlineStr">
        <is>
          <t>ε_dp</t>
        </is>
      </c>
      <c r="F103" s="17" t="n"/>
      <c r="G103" s="17" t="n">
        <v>0.65</v>
      </c>
      <c r="H103" s="17" t="n">
        <v>0.8</v>
      </c>
      <c r="I103" s="4" t="inlineStr">
        <is>
          <t>—</t>
        </is>
      </c>
      <c r="J103" s="4" t="inlineStr">
        <is>
          <t>sizing-grade</t>
        </is>
      </c>
      <c r="K103" s="4" t="inlineStr">
        <is>
          <t>H</t>
        </is>
      </c>
      <c r="L103" s="4" t="inlineStr"/>
      <c r="M103" s="4" t="inlineStr">
        <is>
          <t>10 §2</t>
        </is>
      </c>
    </row>
    <row r="104">
      <c r="A104" s="3" t="inlineStr">
        <is>
          <t>LQ-089</t>
        </is>
      </c>
      <c r="B104" s="4" t="inlineStr">
        <is>
          <t>Liquid</t>
        </is>
      </c>
      <c r="C104" s="4" t="inlineStr">
        <is>
          <t>M-cycle</t>
        </is>
      </c>
      <c r="D104" s="4" t="inlineStr">
        <is>
          <t>Supply from 11.9 g/kg feed</t>
        </is>
      </c>
      <c r="E104" s="4" t="inlineStr">
        <is>
          <t>T_sup</t>
        </is>
      </c>
      <c r="F104" s="17" t="n"/>
      <c r="G104" s="17" t="n">
        <v>21</v>
      </c>
      <c r="H104" s="17" t="n">
        <v>23</v>
      </c>
      <c r="I104" s="4" t="inlineStr">
        <is>
          <t>°C</t>
        </is>
      </c>
      <c r="J104" s="4" t="inlineStr">
        <is>
          <t>sizing-grade</t>
        </is>
      </c>
      <c r="K104" s="4" t="inlineStr">
        <is>
          <t>H</t>
        </is>
      </c>
      <c r="L104" s="4" t="inlineStr">
        <is>
          <t>Feed dew point 16.7 °C</t>
        </is>
      </c>
      <c r="M104" s="4" t="inlineStr">
        <is>
          <t>10 §2</t>
        </is>
      </c>
    </row>
    <row r="105">
      <c r="A105" s="3" t="inlineStr">
        <is>
          <t>LQ-090</t>
        </is>
      </c>
      <c r="B105" s="4" t="inlineStr">
        <is>
          <t>Liquid</t>
        </is>
      </c>
      <c r="C105" s="4" t="inlineStr">
        <is>
          <t>M-cycle</t>
        </is>
      </c>
      <c r="D105" s="4" t="inlineStr">
        <is>
          <t>Supply from 9.0 g/kg feed</t>
        </is>
      </c>
      <c r="E105" s="4" t="inlineStr">
        <is>
          <t>T_sup</t>
        </is>
      </c>
      <c r="F105" s="17" t="n"/>
      <c r="G105" s="17" t="n">
        <v>18</v>
      </c>
      <c r="H105" s="17" t="n">
        <v>21</v>
      </c>
      <c r="I105" s="4" t="inlineStr">
        <is>
          <t>°C</t>
        </is>
      </c>
      <c r="J105" s="4" t="inlineStr">
        <is>
          <t>sizing-grade</t>
        </is>
      </c>
      <c r="K105" s="4" t="inlineStr">
        <is>
          <t>H</t>
        </is>
      </c>
      <c r="L105" s="4" t="inlineStr">
        <is>
          <t>Feed dew point 12.5 °C (hot-regen brine)</t>
        </is>
      </c>
      <c r="M105" s="4" t="inlineStr">
        <is>
          <t>10 §2</t>
        </is>
      </c>
    </row>
    <row r="106">
      <c r="A106" s="3" t="inlineStr">
        <is>
          <t>LQ-091</t>
        </is>
      </c>
      <c r="B106" s="4" t="inlineStr">
        <is>
          <t>Liquid</t>
        </is>
      </c>
      <c r="C106" s="4" t="inlineStr">
        <is>
          <t>M-cycle</t>
        </is>
      </c>
      <c r="D106" s="4" t="inlineStr">
        <is>
          <t>Supply from 7.5–8 g/kg feed</t>
        </is>
      </c>
      <c r="E106" s="4" t="inlineStr">
        <is>
          <t>T_sup</t>
        </is>
      </c>
      <c r="F106" s="17" t="n"/>
      <c r="G106" s="17" t="n">
        <v>15</v>
      </c>
      <c r="H106" s="17" t="n">
        <v>18</v>
      </c>
      <c r="I106" s="4" t="inlineStr">
        <is>
          <t>°C</t>
        </is>
      </c>
      <c r="J106" s="4" t="inlineStr">
        <is>
          <t>sizing-grade</t>
        </is>
      </c>
      <c r="K106" s="4" t="inlineStr">
        <is>
          <t>H</t>
        </is>
      </c>
      <c r="L106" s="4" t="inlineStr">
        <is>
          <t>Feed dew point ~10 °C (LiCl blend)</t>
        </is>
      </c>
      <c r="M106" s="4" t="inlineStr">
        <is>
          <t>10 §2</t>
        </is>
      </c>
    </row>
    <row r="107">
      <c r="A107" s="3" t="inlineStr">
        <is>
          <t>LQ-092</t>
        </is>
      </c>
      <c r="B107" s="4" t="inlineStr">
        <is>
          <t>Liquid</t>
        </is>
      </c>
      <c r="C107" s="4" t="inlineStr">
        <is>
          <t>Thermal bus</t>
        </is>
      </c>
      <c r="D107" s="4" t="inlineStr">
        <is>
          <t>Buffer tank volume</t>
        </is>
      </c>
      <c r="E107" s="4" t="inlineStr">
        <is>
          <t>V_buf</t>
        </is>
      </c>
      <c r="F107" s="17" t="n"/>
      <c r="G107" s="17" t="n">
        <v>30</v>
      </c>
      <c r="H107" s="17" t="n">
        <v>60</v>
      </c>
      <c r="I107" s="4" t="inlineStr">
        <is>
          <t>L</t>
        </is>
      </c>
      <c r="J107" s="4" t="inlineStr">
        <is>
          <t>sizing-grade</t>
        </is>
      </c>
      <c r="K107" s="4" t="inlineStr"/>
      <c r="L107" s="4" t="inlineStr">
        <is>
          <t>Insulated, 65–90 °C; merges all sources, doubles as DHW</t>
        </is>
      </c>
      <c r="M107" s="4" t="inlineStr">
        <is>
          <t>11 §7</t>
        </is>
      </c>
    </row>
    <row r="108">
      <c r="A108" s="3" t="inlineStr">
        <is>
          <t>LQ-093</t>
        </is>
      </c>
      <c r="B108" s="4" t="inlineStr">
        <is>
          <t>Liquid</t>
        </is>
      </c>
      <c r="C108" s="4" t="inlineStr">
        <is>
          <t>Thermal bus</t>
        </is>
      </c>
      <c r="D108" s="4" t="inlineStr">
        <is>
          <t>Thermostatic limit valve setpoint</t>
        </is>
      </c>
      <c r="E108" s="4" t="inlineStr">
        <is>
          <t>T_lim</t>
        </is>
      </c>
      <c r="F108" s="17" t="n"/>
      <c r="G108" s="17" t="n">
        <v>85</v>
      </c>
      <c r="H108" s="17" t="n">
        <v>90</v>
      </c>
      <c r="I108" s="4" t="inlineStr">
        <is>
          <t>°C</t>
        </is>
      </c>
      <c r="J108" s="4" t="inlineStr">
        <is>
          <t>requirement</t>
        </is>
      </c>
      <c r="K108" s="4" t="inlineStr"/>
      <c r="L108" s="4" t="inlineStr">
        <is>
          <t>Protects the CPVC/PP hot side</t>
        </is>
      </c>
      <c r="M108" s="4" t="inlineStr">
        <is>
          <t>11 §7</t>
        </is>
      </c>
    </row>
    <row r="109">
      <c r="A109" s="3" t="inlineStr">
        <is>
          <t>LQ-094</t>
        </is>
      </c>
      <c r="B109" s="4" t="inlineStr">
        <is>
          <t>Liquid</t>
        </is>
      </c>
      <c r="C109" s="4" t="inlineStr">
        <is>
          <t>Thermal bus</t>
        </is>
      </c>
      <c r="D109" s="4" t="inlineStr">
        <is>
          <t>Solar collector area (ERV'd budget)</t>
        </is>
      </c>
      <c r="E109" s="4" t="inlineStr">
        <is>
          <t>A_sol</t>
        </is>
      </c>
      <c r="F109" s="17" t="n"/>
      <c r="G109" s="17" t="n">
        <v>2.5</v>
      </c>
      <c r="H109" s="17" t="n">
        <v>4.5</v>
      </c>
      <c r="I109" s="4" t="inlineStr">
        <is>
          <t>m²</t>
        </is>
      </c>
      <c r="J109" s="4" t="inlineStr">
        <is>
          <t>sizing-grade</t>
        </is>
      </c>
      <c r="K109" s="4" t="inlineStr"/>
      <c r="L109" s="4" t="inlineStr">
        <is>
          <t>9–11 kWh/day ÷ 2.5–3 kWh/m²·day; ~2 m² ETC top-lift with PVT</t>
        </is>
      </c>
      <c r="M109" s="4" t="inlineStr">
        <is>
          <t>12 §1</t>
        </is>
      </c>
    </row>
    <row r="110">
      <c r="A110" s="3" t="inlineStr">
        <is>
          <t>LQ-095</t>
        </is>
      </c>
      <c r="B110" s="4" t="inlineStr">
        <is>
          <t>Liquid</t>
        </is>
      </c>
      <c r="C110" s="4" t="inlineStr">
        <is>
          <t>Thermal bus</t>
        </is>
      </c>
      <c r="D110" s="4" t="inlineStr">
        <is>
          <t>Diesel hydronic fuel, full duty</t>
        </is>
      </c>
      <c r="E110" s="4" t="inlineStr">
        <is>
          <t>V̇_f</t>
        </is>
      </c>
      <c r="F110" s="17" t="n"/>
      <c r="G110" s="17" t="n">
        <v>1.1</v>
      </c>
      <c r="H110" s="17" t="n">
        <v>1.4</v>
      </c>
      <c r="I110" s="4" t="inlineStr">
        <is>
          <t>L/day</t>
        </is>
      </c>
      <c r="J110" s="4" t="inlineStr">
        <is>
          <t>sizing-grade</t>
        </is>
      </c>
      <c r="K110" s="4" t="inlineStr"/>
      <c r="L110" s="4" t="inlineStr">
        <is>
          <t>÷ 8.5 kWh/L, 5 kW heater class</t>
        </is>
      </c>
      <c r="M110" s="4" t="inlineStr">
        <is>
          <t>12 §1</t>
        </is>
      </c>
    </row>
    <row r="111">
      <c r="A111" s="3" t="inlineStr">
        <is>
          <t>VL-001</t>
        </is>
      </c>
      <c r="B111" s="4" t="inlineStr">
        <is>
          <t>Liquid</t>
        </is>
      </c>
      <c r="C111" s="4" t="inlineStr">
        <is>
          <t>Volume ladder</t>
        </is>
      </c>
      <c r="D111" s="4" t="inlineStr">
        <is>
          <t>Once-through cascade M-cycle cooling</t>
        </is>
      </c>
      <c r="E111" s="4" t="inlineStr">
        <is>
          <t>V</t>
        </is>
      </c>
      <c r="F111" s="17" t="n"/>
      <c r="G111" s="17" t="n">
        <v>2</v>
      </c>
      <c r="H111" s="17" t="n">
        <v>5</v>
      </c>
      <c r="I111" s="4" t="inlineStr">
        <is>
          <t>m³/outlet</t>
        </is>
      </c>
      <c r="J111" s="4" t="inlineStr">
        <is>
          <t>sizing-grade</t>
        </is>
      </c>
      <c r="K111" s="4" t="inlineStr">
        <is>
          <t>H</t>
        </is>
      </c>
      <c r="L111" s="4" t="inlineStr">
        <is>
          <t>74–112 W; limit = dew point of working air</t>
        </is>
      </c>
      <c r="M111" s="4" t="inlineStr">
        <is>
          <t>00 §6</t>
        </is>
      </c>
    </row>
    <row r="112">
      <c r="A112" s="3" t="inlineStr">
        <is>
          <t>VL-002</t>
        </is>
      </c>
      <c r="B112" s="4" t="inlineStr">
        <is>
          <t>Liquid</t>
        </is>
      </c>
      <c r="C112" s="4" t="inlineStr">
        <is>
          <t>Volume ladder</t>
        </is>
      </c>
      <c r="D112" s="4" t="inlineStr">
        <is>
          <t>Unattended, 1 contactor, holding 13 g/kg</t>
        </is>
      </c>
      <c r="E112" s="4" t="inlineStr">
        <is>
          <t>V</t>
        </is>
      </c>
      <c r="F112" s="17" t="n">
        <v>90</v>
      </c>
      <c r="G112" s="17" t="n"/>
      <c r="H112" s="17" t="n"/>
      <c r="I112" s="4" t="inlineStr">
        <is>
          <t>m³</t>
        </is>
      </c>
      <c r="J112" s="4" t="inlineStr">
        <is>
          <t>sizing-grade</t>
        </is>
      </c>
      <c r="K112" s="4" t="inlineStr">
        <is>
          <t>I</t>
        </is>
      </c>
      <c r="L112" s="4" t="inlineStr">
        <is>
          <t>×2 per contactor; limit = contactor capacity vs 0.1 ACH</t>
        </is>
      </c>
      <c r="M112" s="4" t="inlineStr">
        <is>
          <t>00 §6</t>
        </is>
      </c>
    </row>
    <row r="113">
      <c r="A113" s="3" t="inlineStr">
        <is>
          <t>VL-003</t>
        </is>
      </c>
      <c r="B113" s="4" t="inlineStr">
        <is>
          <t>Liquid</t>
        </is>
      </c>
      <c r="C113" s="4" t="inlineStr">
        <is>
          <t>Volume ladder</t>
        </is>
      </c>
      <c r="D113" s="4" t="inlineStr">
        <is>
          <t>Unattended, 1 contactor, mold-safe</t>
        </is>
      </c>
      <c r="E113" s="4" t="inlineStr">
        <is>
          <t>V</t>
        </is>
      </c>
      <c r="F113" s="17" t="n"/>
      <c r="G113" s="17" t="n">
        <v>160</v>
      </c>
      <c r="H113" s="17" t="n">
        <v>215</v>
      </c>
      <c r="I113" s="4" t="inlineStr">
        <is>
          <t>m³</t>
        </is>
      </c>
      <c r="J113" s="4" t="inlineStr">
        <is>
          <t>sizing-grade</t>
        </is>
      </c>
      <c r="K113" s="4" t="inlineStr">
        <is>
          <t>I</t>
        </is>
      </c>
      <c r="L113" s="4" t="inlineStr">
        <is>
          <t>60–65% RH basis, ~30–50 W + trickle heat</t>
        </is>
      </c>
      <c r="M113" s="4" t="inlineStr">
        <is>
          <t>00 §6</t>
        </is>
      </c>
    </row>
    <row r="114">
      <c r="A114" s="3" t="inlineStr">
        <is>
          <t>VL-004</t>
        </is>
      </c>
      <c r="B114" s="4" t="inlineStr">
        <is>
          <t>Liquid</t>
        </is>
      </c>
      <c r="C114" s="4" t="inlineStr">
        <is>
          <t>Volume ladder</t>
        </is>
      </c>
      <c r="D114" s="4" t="inlineStr">
        <is>
          <t>Once-through occupied (pressure integrity)</t>
        </is>
      </c>
      <c r="E114" s="4" t="inlineStr">
        <is>
          <t>V</t>
        </is>
      </c>
      <c r="F114" s="17" t="n"/>
      <c r="G114" s="17" t="n">
        <v>110</v>
      </c>
      <c r="H114" s="17" t="n">
        <v>240</v>
      </c>
      <c r="I114" s="4" t="inlineStr">
        <is>
          <t>m³</t>
        </is>
      </c>
      <c r="J114" s="4" t="inlineStr">
        <is>
          <t>sizing-grade</t>
        </is>
      </c>
      <c r="K114" s="4" t="inlineStr">
        <is>
          <t>I</t>
        </is>
      </c>
      <c r="L114" s="4" t="inlineStr">
        <is>
          <t>Supply ≥ 2–3× infiltration</t>
        </is>
      </c>
      <c r="M114" s="4" t="inlineStr">
        <is>
          <t>00 §6</t>
        </is>
      </c>
    </row>
    <row r="115">
      <c r="A115" s="3" t="inlineStr">
        <is>
          <t>VL-005</t>
        </is>
      </c>
      <c r="B115" s="4" t="inlineStr">
        <is>
          <t>Liquid</t>
        </is>
      </c>
      <c r="C115" s="4" t="inlineStr">
        <is>
          <t>Volume ladder</t>
        </is>
      </c>
      <c r="D115" s="4" t="inlineStr">
        <is>
          <t>Mixed-mode occupied (baseline)</t>
        </is>
      </c>
      <c r="E115" s="4" t="inlineStr">
        <is>
          <t>V</t>
        </is>
      </c>
      <c r="F115" s="17" t="n"/>
      <c r="G115" s="17" t="n">
        <v>300</v>
      </c>
      <c r="H115" s="17" t="n">
        <v>500</v>
      </c>
      <c r="I115" s="4" t="inlineStr">
        <is>
          <t>m³</t>
        </is>
      </c>
      <c r="J115" s="4" t="inlineStr">
        <is>
          <t>sizing-grade</t>
        </is>
      </c>
      <c r="K115" s="4" t="inlineStr">
        <is>
          <t>I</t>
        </is>
      </c>
      <c r="L115" s="4" t="inlineStr">
        <is>
          <t>With a 3-cell bank; limit = bank capacity + heat budget</t>
        </is>
      </c>
      <c r="M115" s="4" t="inlineStr">
        <is>
          <t>00 §6</t>
        </is>
      </c>
    </row>
    <row r="116">
      <c r="A116" s="3" t="inlineStr">
        <is>
          <t>VL-006</t>
        </is>
      </c>
      <c r="B116" s="4" t="inlineStr">
        <is>
          <t>Liquid</t>
        </is>
      </c>
      <c r="C116" s="4" t="inlineStr">
        <is>
          <t>Volume ladder</t>
        </is>
      </c>
      <c r="D116" s="4" t="inlineStr">
        <is>
          <t>Whole-cabin AC (recirc + hot-regen brine)</t>
        </is>
      </c>
      <c r="E116" s="4" t="inlineStr">
        <is>
          <t>V</t>
        </is>
      </c>
      <c r="F116" s="17" t="n">
        <v>100</v>
      </c>
      <c r="G116" s="17" t="n"/>
      <c r="H116" s="17" t="n"/>
      <c r="I116" s="4" t="inlineStr">
        <is>
          <t>m³</t>
        </is>
      </c>
      <c r="J116" s="4" t="inlineStr">
        <is>
          <t>deferred</t>
        </is>
      </c>
      <c r="K116" s="4" t="inlineStr"/>
      <c r="L116" s="4" t="inlineStr">
        <is>
          <t>~10.6 kg/h, ~11 kW heat — converges with the solid track (X1)</t>
        </is>
      </c>
      <c r="M116" s="4" t="inlineStr">
        <is>
          <t>00 §6</t>
        </is>
      </c>
    </row>
    <row r="117">
      <c r="A117" s="3" t="inlineStr">
        <is>
          <t>VL-007</t>
        </is>
      </c>
      <c r="B117" s="4" t="inlineStr">
        <is>
          <t>Liquid</t>
        </is>
      </c>
      <c r="C117" s="4" t="inlineStr">
        <is>
          <t>Volume ladder</t>
        </is>
      </c>
      <c r="D117" s="4" t="inlineStr">
        <is>
          <t>Whole-cabin once-through absorber duty</t>
        </is>
      </c>
      <c r="E117" s="4" t="inlineStr">
        <is>
          <t>ṁ_w</t>
        </is>
      </c>
      <c r="F117" s="17" t="n"/>
      <c r="G117" s="17" t="n">
        <v>5.5</v>
      </c>
      <c r="H117" s="17" t="n">
        <v>11</v>
      </c>
      <c r="I117" s="4" t="inlineStr">
        <is>
          <t>kg/h</t>
        </is>
      </c>
      <c r="J117" s="4" t="inlineStr">
        <is>
          <t>sizing-grade</t>
        </is>
      </c>
      <c r="K117" s="4" t="inlineStr"/>
      <c r="L117" s="4" t="inlineStr">
        <is>
          <t>Drying 370–750 m³/h of ambient supply — why X1 holds</t>
        </is>
      </c>
      <c r="M117" s="4" t="inlineStr">
        <is>
          <t>12 §1</t>
        </is>
      </c>
    </row>
    <row r="118">
      <c r="A118" s="3" t="inlineStr">
        <is>
          <t>VL-008</t>
        </is>
      </c>
      <c r="B118" s="4" t="inlineStr">
        <is>
          <t>Liquid</t>
        </is>
      </c>
      <c r="C118" s="4" t="inlineStr">
        <is>
          <t>Performance</t>
        </is>
      </c>
      <c r="D118" s="4" t="inlineStr">
        <is>
          <t>4 adults, once-through, base brine</t>
        </is>
      </c>
      <c r="E118" s="4" t="inlineStr">
        <is>
          <t>RH</t>
        </is>
      </c>
      <c r="F118" s="17" t="n"/>
      <c r="G118" s="17" t="n">
        <v>59</v>
      </c>
      <c r="H118" s="17" t="n">
        <v>66</v>
      </c>
      <c r="I118" s="4" t="inlineStr">
        <is>
          <t>%</t>
        </is>
      </c>
      <c r="J118" s="4" t="inlineStr">
        <is>
          <t>sizing-grade</t>
        </is>
      </c>
      <c r="K118" s="4" t="inlineStr">
        <is>
          <t>I</t>
        </is>
      </c>
      <c r="L118" s="4" t="inlineStr">
        <is>
          <t>FAILS comfort — mode retired for full occupancy (erratum 8)</t>
        </is>
      </c>
      <c r="M118" s="4" t="inlineStr">
        <is>
          <t>10 §5</t>
        </is>
      </c>
    </row>
    <row r="119">
      <c r="A119" s="3" t="inlineStr">
        <is>
          <t>VL-009</t>
        </is>
      </c>
      <c r="B119" s="4" t="inlineStr">
        <is>
          <t>Liquid</t>
        </is>
      </c>
      <c r="C119" s="4" t="inlineStr">
        <is>
          <t>Performance</t>
        </is>
      </c>
      <c r="D119" s="4" t="inlineStr">
        <is>
          <t>4 adults, mixed-mode, cooled base brine</t>
        </is>
      </c>
      <c r="E119" s="4" t="inlineStr">
        <is>
          <t>RH</t>
        </is>
      </c>
      <c r="F119" s="17" t="n">
        <v>55</v>
      </c>
      <c r="G119" s="17" t="n"/>
      <c r="H119" s="17" t="n"/>
      <c r="I119" s="4" t="inlineStr">
        <is>
          <t>%</t>
        </is>
      </c>
      <c r="J119" s="4" t="inlineStr">
        <is>
          <t>sizing-grade</t>
        </is>
      </c>
      <c r="K119" s="4" t="inlineStr">
        <is>
          <t>I</t>
        </is>
      </c>
      <c r="L119" s="4" t="inlineStr">
        <is>
          <t>The occupied baseline (X6), at 29 °C</t>
        </is>
      </c>
      <c r="M119" s="4" t="inlineStr">
        <is>
          <t>10 §5</t>
        </is>
      </c>
    </row>
    <row r="120">
      <c r="A120" s="3" t="inlineStr">
        <is>
          <t>VL-010</t>
        </is>
      </c>
      <c r="B120" s="4" t="inlineStr">
        <is>
          <t>Liquid</t>
        </is>
      </c>
      <c r="C120" s="4" t="inlineStr">
        <is>
          <t>Performance</t>
        </is>
      </c>
      <c r="D120" s="4" t="inlineStr">
        <is>
          <t>2 adults, once-through, cooled brine</t>
        </is>
      </c>
      <c r="E120" s="4" t="inlineStr">
        <is>
          <t>RH</t>
        </is>
      </c>
      <c r="F120" s="17" t="n"/>
      <c r="G120" s="17" t="n">
        <v>54</v>
      </c>
      <c r="H120" s="17" t="n">
        <v>58</v>
      </c>
      <c r="I120" s="4" t="inlineStr">
        <is>
          <t>%</t>
        </is>
      </c>
      <c r="J120" s="4" t="inlineStr">
        <is>
          <t>sizing-grade</t>
        </is>
      </c>
      <c r="K120" s="4" t="inlineStr">
        <is>
          <t>I</t>
        </is>
      </c>
      <c r="L120" s="4" t="inlineStr">
        <is>
          <t>Stands on the base system</t>
        </is>
      </c>
      <c r="M120" s="4" t="inlineStr">
        <is>
          <t>10 §5</t>
        </is>
      </c>
    </row>
    <row r="121">
      <c r="A121" s="3" t="inlineStr">
        <is>
          <t>SD-001</t>
        </is>
      </c>
      <c r="B121" s="4" t="inlineStr">
        <is>
          <t>Solid</t>
        </is>
      </c>
      <c r="C121" s="4" t="inlineStr">
        <is>
          <t>Duty</t>
        </is>
      </c>
      <c r="D121" s="4" t="inlineStr">
        <is>
          <t>Total peak sorbent duty (self-consistent)</t>
        </is>
      </c>
      <c r="E121" s="4" t="inlineStr">
        <is>
          <t>ṁ_w</t>
        </is>
      </c>
      <c r="F121" s="17" t="n"/>
      <c r="G121" s="17" t="n">
        <v>9</v>
      </c>
      <c r="H121" s="17" t="n">
        <v>11</v>
      </c>
      <c r="I121" s="4" t="inlineStr">
        <is>
          <t>kg/h</t>
        </is>
      </c>
      <c r="J121" s="4" t="inlineStr">
        <is>
          <t>sizing-grade</t>
        </is>
      </c>
      <c r="K121" s="4" t="inlineStr">
        <is>
          <t>T2</t>
        </is>
      </c>
      <c r="L121" s="4" t="inlineStr">
        <is>
          <t>F1: working-air moisture dominates; sharpened from 7–8 kg/h</t>
        </is>
      </c>
      <c r="M121" s="4" t="inlineStr">
        <is>
          <t>20 §5</t>
        </is>
      </c>
    </row>
    <row r="122">
      <c r="A122" s="3" t="inlineStr">
        <is>
          <t>SD-002</t>
        </is>
      </c>
      <c r="B122" s="4" t="inlineStr">
        <is>
          <t>Solid</t>
        </is>
      </c>
      <c r="C122" s="4" t="inlineStr">
        <is>
          <t>Duty</t>
        </is>
      </c>
      <c r="D122" s="4" t="inlineStr">
        <is>
          <t>Naive envelope-only duty (cautionary row)</t>
        </is>
      </c>
      <c r="E122" s="4" t="inlineStr">
        <is>
          <t>ṁ_w</t>
        </is>
      </c>
      <c r="F122" s="17" t="n"/>
      <c r="G122" s="17" t="n">
        <v>2</v>
      </c>
      <c r="H122" s="17" t="n">
        <v>3</v>
      </c>
      <c r="I122" s="4" t="inlineStr">
        <is>
          <t>kg/h</t>
        </is>
      </c>
      <c r="J122" s="4" t="inlineStr">
        <is>
          <t>superseded</t>
        </is>
      </c>
      <c r="K122" s="4" t="inlineStr"/>
      <c r="L122" s="4" t="inlineStr">
        <is>
          <t>Under-sizes the desiccant 3–5× — retained as the error record</t>
        </is>
      </c>
      <c r="M122" s="4" t="inlineStr">
        <is>
          <t>22 §4</t>
        </is>
      </c>
    </row>
    <row r="123">
      <c r="A123" s="3" t="inlineStr">
        <is>
          <t>SD-003</t>
        </is>
      </c>
      <c r="B123" s="4" t="inlineStr">
        <is>
          <t>Solid</t>
        </is>
      </c>
      <c r="C123" s="4" t="inlineStr">
        <is>
          <t>Duty</t>
        </is>
      </c>
      <c r="D123" s="4" t="inlineStr">
        <is>
          <t>Continuous regeneration heat</t>
        </is>
      </c>
      <c r="E123" s="4" t="inlineStr">
        <is>
          <t>Q_regen</t>
        </is>
      </c>
      <c r="F123" s="17" t="n"/>
      <c r="G123" s="17" t="n">
        <v>7.5</v>
      </c>
      <c r="H123" s="17" t="n">
        <v>9</v>
      </c>
      <c r="I123" s="4" t="inlineStr">
        <is>
          <t>kW</t>
        </is>
      </c>
      <c r="J123" s="4" t="inlineStr">
        <is>
          <t>sizing-grade</t>
        </is>
      </c>
      <c r="K123" s="4" t="inlineStr">
        <is>
          <t>M2, T2</t>
        </is>
      </c>
      <c r="L123" s="4" t="inlineStr">
        <is>
          <t>~0.85 kWh/L × duty</t>
        </is>
      </c>
      <c r="M123" s="4" t="inlineStr">
        <is>
          <t>20 §5</t>
        </is>
      </c>
    </row>
    <row r="124">
      <c r="A124" s="3" t="inlineStr">
        <is>
          <t>SD-004</t>
        </is>
      </c>
      <c r="B124" s="4" t="inlineStr">
        <is>
          <t>Solid</t>
        </is>
      </c>
      <c r="C124" s="4" t="inlineStr">
        <is>
          <t>Duty</t>
        </is>
      </c>
      <c r="D124" s="4" t="inlineStr">
        <is>
          <t>Parasitic electrical</t>
        </is>
      </c>
      <c r="E124" s="4" t="inlineStr">
        <is>
          <t>P_e</t>
        </is>
      </c>
      <c r="F124" s="17" t="n"/>
      <c r="G124" s="17" t="n">
        <v>0.6</v>
      </c>
      <c r="H124" s="17" t="n">
        <v>1</v>
      </c>
      <c r="I124" s="4" t="inlineStr">
        <is>
          <t>kW</t>
        </is>
      </c>
      <c r="J124" s="4" t="inlineStr">
        <is>
          <t>PENDING M1</t>
        </is>
      </c>
      <c r="K124" s="4" t="inlineStr">
        <is>
          <t>M1</t>
        </is>
      </c>
      <c r="L124" s="4" t="inlineStr">
        <is>
          <t>Fans 300–660 W supply + 60–145 W working; pumps 100–250 W</t>
        </is>
      </c>
      <c r="M124" s="4" t="inlineStr">
        <is>
          <t>20 §5</t>
        </is>
      </c>
    </row>
    <row r="125">
      <c r="A125" s="3" t="inlineStr">
        <is>
          <t>SD-005</t>
        </is>
      </c>
      <c r="B125" s="4" t="inlineStr">
        <is>
          <t>Solid</t>
        </is>
      </c>
      <c r="C125" s="4" t="inlineStr">
        <is>
          <t>Duty</t>
        </is>
      </c>
      <c r="D125" s="4" t="inlineStr">
        <is>
          <t>Supply fan pressure</t>
        </is>
      </c>
      <c r="E125" s="4" t="inlineStr">
        <is>
          <t>ΔP</t>
        </is>
      </c>
      <c r="F125" s="17" t="n"/>
      <c r="G125" s="17" t="n">
        <v>250</v>
      </c>
      <c r="H125" s="17" t="n">
        <v>550</v>
      </c>
      <c r="I125" s="4" t="inlineStr">
        <is>
          <t>Pa</t>
        </is>
      </c>
      <c r="J125" s="4" t="inlineStr">
        <is>
          <t>PENDING M1</t>
        </is>
      </c>
      <c r="K125" s="4" t="inlineStr">
        <is>
          <t>M1</t>
        </is>
      </c>
      <c r="L125" s="4" t="inlineStr">
        <is>
          <t>Fan efficiency η 0.32 assumed</t>
        </is>
      </c>
      <c r="M125" s="4" t="inlineStr">
        <is>
          <t>20 §5</t>
        </is>
      </c>
    </row>
    <row r="126">
      <c r="A126" s="3" t="inlineStr">
        <is>
          <t>SD-006</t>
        </is>
      </c>
      <c r="B126" s="4" t="inlineStr">
        <is>
          <t>Solid</t>
        </is>
      </c>
      <c r="C126" s="4" t="inlineStr">
        <is>
          <t>Duty</t>
        </is>
      </c>
      <c r="D126" s="4" t="inlineStr">
        <is>
          <t>Working fan pressure</t>
        </is>
      </c>
      <c r="E126" s="4" t="inlineStr">
        <is>
          <t>ΔP</t>
        </is>
      </c>
      <c r="F126" s="17" t="n"/>
      <c r="G126" s="17" t="n">
        <v>150</v>
      </c>
      <c r="H126" s="17" t="n">
        <v>350</v>
      </c>
      <c r="I126" s="4" t="inlineStr">
        <is>
          <t>Pa</t>
        </is>
      </c>
      <c r="J126" s="4" t="inlineStr">
        <is>
          <t>PENDING M1</t>
        </is>
      </c>
      <c r="K126" s="4" t="inlineStr">
        <is>
          <t>M1</t>
        </is>
      </c>
      <c r="L126" s="4" t="inlineStr"/>
      <c r="M126" s="4" t="inlineStr">
        <is>
          <t>20 §5</t>
        </is>
      </c>
    </row>
    <row r="127">
      <c r="A127" s="3" t="inlineStr">
        <is>
          <t>SD-007</t>
        </is>
      </c>
      <c r="B127" s="4" t="inlineStr">
        <is>
          <t>Solid</t>
        </is>
      </c>
      <c r="C127" s="4" t="inlineStr">
        <is>
          <t>Air path</t>
        </is>
      </c>
      <c r="D127" s="4" t="inlineStr">
        <is>
          <t>Supply airflow</t>
        </is>
      </c>
      <c r="E127" s="4" t="inlineStr">
        <is>
          <t>ṁ_a</t>
        </is>
      </c>
      <c r="F127" s="17" t="n"/>
      <c r="G127" s="17" t="n">
        <v>0.43</v>
      </c>
      <c r="H127" s="17" t="n">
        <v>0.51</v>
      </c>
      <c r="I127" s="4" t="inlineStr">
        <is>
          <t>kg/s</t>
        </is>
      </c>
      <c r="J127" s="4" t="inlineStr">
        <is>
          <t>sizing-grade</t>
        </is>
      </c>
      <c r="K127" s="4" t="inlineStr">
        <is>
          <t>T2</t>
        </is>
      </c>
      <c r="L127" s="4" t="inlineStr">
        <is>
          <t>≈1,350–1,590 m³/h; topology-dependent (dry-draw vs cabin-draw)</t>
        </is>
      </c>
      <c r="M127" s="4" t="inlineStr">
        <is>
          <t>20 §5</t>
        </is>
      </c>
    </row>
    <row r="128">
      <c r="A128" s="3" t="inlineStr">
        <is>
          <t>SD-008</t>
        </is>
      </c>
      <c r="B128" s="4" t="inlineStr">
        <is>
          <t>Solid</t>
        </is>
      </c>
      <c r="C128" s="4" t="inlineStr">
        <is>
          <t>Air path</t>
        </is>
      </c>
      <c r="D128" s="4" t="inlineStr">
        <is>
          <t>Working airflow</t>
        </is>
      </c>
      <c r="E128" s="4" t="inlineStr">
        <is>
          <t>ṁ_w,air</t>
        </is>
      </c>
      <c r="F128" s="17" t="n"/>
      <c r="G128" s="17" t="n">
        <v>0.13</v>
      </c>
      <c r="H128" s="17" t="n">
        <v>0.16</v>
      </c>
      <c r="I128" s="4" t="inlineStr">
        <is>
          <t>kg/s</t>
        </is>
      </c>
      <c r="J128" s="4" t="inlineStr">
        <is>
          <t>sizing-grade</t>
        </is>
      </c>
      <c r="K128" s="4" t="inlineStr">
        <is>
          <t>T2</t>
        </is>
      </c>
      <c r="L128" s="4" t="inlineStr">
        <is>
          <t>400–500 m³/h; Q_wet ÷ Δh</t>
        </is>
      </c>
      <c r="M128" s="4" t="inlineStr">
        <is>
          <t>20 §5</t>
        </is>
      </c>
    </row>
    <row r="129">
      <c r="A129" s="3" t="inlineStr">
        <is>
          <t>SD-009</t>
        </is>
      </c>
      <c r="B129" s="4" t="inlineStr">
        <is>
          <t>Solid</t>
        </is>
      </c>
      <c r="C129" s="4" t="inlineStr">
        <is>
          <t>Air path</t>
        </is>
      </c>
      <c r="D129" s="4" t="inlineStr">
        <is>
          <t>Supply temperature</t>
        </is>
      </c>
      <c r="E129" s="4" t="inlineStr">
        <is>
          <t>T_sup</t>
        </is>
      </c>
      <c r="F129" s="17" t="n"/>
      <c r="G129" s="17" t="n">
        <v>16.8</v>
      </c>
      <c r="H129" s="17" t="n">
        <v>18.1</v>
      </c>
      <c r="I129" s="4" t="inlineStr">
        <is>
          <t>°C</t>
        </is>
      </c>
      <c r="J129" s="4" t="inlineStr">
        <is>
          <t>sizing-grade</t>
        </is>
      </c>
      <c r="K129" s="4" t="inlineStr">
        <is>
          <t>T2</t>
        </is>
      </c>
      <c r="L129" s="4" t="inlineStr">
        <is>
          <t>Set by working-air dew point at ε_dp 0.7</t>
        </is>
      </c>
      <c r="M129" s="4" t="inlineStr">
        <is>
          <t>20 §5</t>
        </is>
      </c>
    </row>
    <row r="130">
      <c r="A130" s="3" t="inlineStr">
        <is>
          <t>SD-010</t>
        </is>
      </c>
      <c r="B130" s="4" t="inlineStr">
        <is>
          <t>Solid</t>
        </is>
      </c>
      <c r="C130" s="4" t="inlineStr">
        <is>
          <t>Air path</t>
        </is>
      </c>
      <c r="D130" s="4" t="inlineStr">
        <is>
          <t>Post-desiccant humidity ratio</t>
        </is>
      </c>
      <c r="E130" s="4" t="inlineStr">
        <is>
          <t>ω_sup</t>
        </is>
      </c>
      <c r="F130" s="17" t="n">
        <v>8</v>
      </c>
      <c r="G130" s="17" t="n"/>
      <c r="H130" s="17" t="n"/>
      <c r="I130" s="4" t="inlineStr">
        <is>
          <t>g/kg</t>
        </is>
      </c>
      <c r="J130" s="4" t="inlineStr">
        <is>
          <t>sizing-grade</t>
        </is>
      </c>
      <c r="K130" s="4" t="inlineStr">
        <is>
          <t>M1</t>
        </is>
      </c>
      <c r="L130" s="4" t="inlineStr">
        <is>
          <t>AlFu back-end; state 1–3 of the chain</t>
        </is>
      </c>
      <c r="M130" s="4" t="inlineStr">
        <is>
          <t>20 §2</t>
        </is>
      </c>
    </row>
    <row r="131">
      <c r="A131" s="3" t="inlineStr">
        <is>
          <t>SD-011</t>
        </is>
      </c>
      <c r="B131" s="4" t="inlineStr">
        <is>
          <t>Solid</t>
        </is>
      </c>
      <c r="C131" s="4" t="inlineStr">
        <is>
          <t>Air path</t>
        </is>
      </c>
      <c r="D131" s="4" t="inlineStr">
        <is>
          <t>Post-desiccant air temperature</t>
        </is>
      </c>
      <c r="E131" s="4" t="inlineStr">
        <is>
          <t>T</t>
        </is>
      </c>
      <c r="F131" s="17" t="n"/>
      <c r="G131" s="17" t="n">
        <v>50</v>
      </c>
      <c r="H131" s="17" t="n">
        <v>55</v>
      </c>
      <c r="I131" s="4" t="inlineStr">
        <is>
          <t>°C</t>
        </is>
      </c>
      <c r="J131" s="4" t="inlineStr">
        <is>
          <t>sizing-grade</t>
        </is>
      </c>
      <c r="K131" s="4" t="inlineStr">
        <is>
          <t>M1</t>
        </is>
      </c>
      <c r="L131" s="4" t="inlineStr">
        <is>
          <t>Adsorption heat partly removed by sink fluid</t>
        </is>
      </c>
      <c r="M131" s="4" t="inlineStr">
        <is>
          <t>20 §2</t>
        </is>
      </c>
    </row>
    <row r="132">
      <c r="A132" s="3" t="inlineStr">
        <is>
          <t>SD-012</t>
        </is>
      </c>
      <c r="B132" s="4" t="inlineStr">
        <is>
          <t>Solid</t>
        </is>
      </c>
      <c r="C132" s="4" t="inlineStr">
        <is>
          <t>Air path</t>
        </is>
      </c>
      <c r="D132" s="4" t="inlineStr">
        <is>
          <t>Post-intercool temperature</t>
        </is>
      </c>
      <c r="E132" s="4" t="inlineStr">
        <is>
          <t>T</t>
        </is>
      </c>
      <c r="F132" s="17" t="n"/>
      <c r="G132" s="17" t="n">
        <v>30</v>
      </c>
      <c r="H132" s="17" t="n">
        <v>32</v>
      </c>
      <c r="I132" s="4" t="inlineStr">
        <is>
          <t>°C</t>
        </is>
      </c>
      <c r="J132" s="4" t="inlineStr">
        <is>
          <t>sizing-grade</t>
        </is>
      </c>
      <c r="K132" s="4" t="inlineStr"/>
      <c r="L132" s="4" t="inlineStr">
        <is>
          <t>Sensible only, to raw water</t>
        </is>
      </c>
      <c r="M132" s="4" t="inlineStr">
        <is>
          <t>20 §2</t>
        </is>
      </c>
    </row>
    <row r="133">
      <c r="A133" s="3" t="inlineStr">
        <is>
          <t>SD-013</t>
        </is>
      </c>
      <c r="B133" s="4" t="inlineStr">
        <is>
          <t>Solid</t>
        </is>
      </c>
      <c r="C133" s="4" t="inlineStr">
        <is>
          <t>Air path</t>
        </is>
      </c>
      <c r="D133" s="4" t="inlineStr">
        <is>
          <t>Working exhaust state (recycled)</t>
        </is>
      </c>
      <c r="E133" s="4" t="inlineStr">
        <is>
          <t>ω</t>
        </is>
      </c>
      <c r="F133" s="17" t="n">
        <v>25.6</v>
      </c>
      <c r="G133" s="17" t="n"/>
      <c r="H133" s="17" t="n"/>
      <c r="I133" s="4" t="inlineStr">
        <is>
          <t>g/kg</t>
        </is>
      </c>
      <c r="J133" s="4" t="inlineStr">
        <is>
          <t>sizing-grade</t>
        </is>
      </c>
      <c r="K133" s="4" t="inlineStr"/>
      <c r="L133" s="4" t="inlineStr">
        <is>
          <t>Saturated at 29 °C; never vented in X8 mode</t>
        </is>
      </c>
      <c r="M133" s="4" t="inlineStr">
        <is>
          <t>20 §2</t>
        </is>
      </c>
    </row>
    <row r="134">
      <c r="A134" s="3" t="inlineStr">
        <is>
          <t>SD-014</t>
        </is>
      </c>
      <c r="B134" s="4" t="inlineStr">
        <is>
          <t>Solid</t>
        </is>
      </c>
      <c r="C134" s="4" t="inlineStr">
        <is>
          <t>Air path</t>
        </is>
      </c>
      <c r="D134" s="4" t="inlineStr">
        <is>
          <t>M-cycle dew-point effectiveness</t>
        </is>
      </c>
      <c r="E134" s="4" t="inlineStr">
        <is>
          <t>ε_dp</t>
        </is>
      </c>
      <c r="F134" s="17" t="n">
        <v>0.7</v>
      </c>
      <c r="G134" s="17" t="n"/>
      <c r="H134" s="17" t="n"/>
      <c r="I134" s="4" t="inlineStr">
        <is>
          <t>—</t>
        </is>
      </c>
      <c r="J134" s="4" t="inlineStr">
        <is>
          <t>sizing-grade</t>
        </is>
      </c>
      <c r="K134" s="4" t="inlineStr">
        <is>
          <t>H</t>
        </is>
      </c>
      <c r="L134" s="4" t="inlineStr">
        <is>
          <t>Toward ~10.8 °C dew point on dried air</t>
        </is>
      </c>
      <c r="M134" s="4" t="inlineStr">
        <is>
          <t>20 §5</t>
        </is>
      </c>
    </row>
    <row r="135">
      <c r="A135" s="3" t="inlineStr">
        <is>
          <t>SD-015</t>
        </is>
      </c>
      <c r="B135" s="4" t="inlineStr">
        <is>
          <t>Solid</t>
        </is>
      </c>
      <c r="C135" s="4" t="inlineStr">
        <is>
          <t>Air path</t>
        </is>
      </c>
      <c r="D135" s="4" t="inlineStr">
        <is>
          <t>Post-ERV fresh state</t>
        </is>
      </c>
      <c r="E135" s="4" t="inlineStr">
        <is>
          <t>T/ω</t>
        </is>
      </c>
      <c r="F135" s="17" t="n">
        <v>31</v>
      </c>
      <c r="G135" s="17" t="n">
        <v>12</v>
      </c>
      <c r="H135" s="17" t="n"/>
      <c r="I135" s="4" t="inlineStr">
        <is>
          <t>°C / g/kg</t>
        </is>
      </c>
      <c r="J135" s="4" t="inlineStr">
        <is>
          <t>sizing-grade</t>
        </is>
      </c>
      <c r="K135" s="4" t="inlineStr">
        <is>
          <t>E</t>
        </is>
      </c>
      <c r="L135" s="4" t="inlineStr">
        <is>
          <t>Pre-dried from 24.2 g/kg at ε 0.8</t>
        </is>
      </c>
      <c r="M135" s="4" t="inlineStr">
        <is>
          <t>20 §2</t>
        </is>
      </c>
    </row>
    <row r="136">
      <c r="A136" s="3" t="inlineStr">
        <is>
          <t>SD-016</t>
        </is>
      </c>
      <c r="B136" s="4" t="inlineStr">
        <is>
          <t>Solid</t>
        </is>
      </c>
      <c r="C136" s="4" t="inlineStr">
        <is>
          <t>Cycle</t>
        </is>
      </c>
      <c r="D136" s="4" t="inlineStr">
        <is>
          <t>Half-cycle time</t>
        </is>
      </c>
      <c r="E136" s="4" t="inlineStr">
        <is>
          <t>t_half</t>
        </is>
      </c>
      <c r="F136" s="17" t="n">
        <v>10</v>
      </c>
      <c r="G136" s="17" t="n"/>
      <c r="H136" s="17" t="n"/>
      <c r="I136" s="4" t="inlineStr">
        <is>
          <t>min</t>
        </is>
      </c>
      <c r="J136" s="4" t="inlineStr">
        <is>
          <t>sizing-grade</t>
        </is>
      </c>
      <c r="K136" s="4" t="inlineStr">
        <is>
          <t>M2</t>
        </is>
      </c>
      <c r="L136" s="4" t="inlineStr">
        <is>
          <t>Throughput is governed by cycle time and coated area, not mass</t>
        </is>
      </c>
      <c r="M136" s="4" t="inlineStr">
        <is>
          <t>22 §1</t>
        </is>
      </c>
    </row>
    <row r="137">
      <c r="A137" s="3" t="inlineStr">
        <is>
          <t>SD-017</t>
        </is>
      </c>
      <c r="B137" s="4" t="inlineStr">
        <is>
          <t>Solid</t>
        </is>
      </c>
      <c r="C137" s="4" t="inlineStr">
        <is>
          <t>Energy</t>
        </is>
      </c>
      <c r="D137" s="4" t="inlineStr">
        <is>
          <t>Latent floor of desorption</t>
        </is>
      </c>
      <c r="E137" s="4" t="inlineStr">
        <is>
          <t>e_lat</t>
        </is>
      </c>
      <c r="F137" s="17" t="n">
        <v>0.67</v>
      </c>
      <c r="G137" s="17" t="n"/>
      <c r="H137" s="17" t="n"/>
      <c r="I137" s="4" t="inlineStr">
        <is>
          <t>kWh/L</t>
        </is>
      </c>
      <c r="J137" s="4" t="inlineStr">
        <is>
          <t>reference</t>
        </is>
      </c>
      <c r="K137" s="4" t="inlineStr"/>
      <c r="L137" s="4" t="inlineStr">
        <is>
          <t>Heat of vaporization — material-independent, 70–85% of input</t>
        </is>
      </c>
      <c r="M137" s="4" t="inlineStr">
        <is>
          <t>20 §3</t>
        </is>
      </c>
    </row>
    <row r="138">
      <c r="A138" s="3" t="inlineStr">
        <is>
          <t>SD-018</t>
        </is>
      </c>
      <c r="B138" s="4" t="inlineStr">
        <is>
          <t>Solid</t>
        </is>
      </c>
      <c r="C138" s="4" t="inlineStr">
        <is>
          <t>Energy</t>
        </is>
      </c>
      <c r="D138" s="4" t="inlineStr">
        <is>
          <t>Binding excess (sorbent-dependent)</t>
        </is>
      </c>
      <c r="E138" s="4" t="inlineStr">
        <is>
          <t>e_bind</t>
        </is>
      </c>
      <c r="F138" s="17" t="n"/>
      <c r="G138" s="17" t="n">
        <v>0.05</v>
      </c>
      <c r="H138" s="17" t="n">
        <v>0.3</v>
      </c>
      <c r="I138" s="4" t="inlineStr">
        <is>
          <t>kWh/L</t>
        </is>
      </c>
      <c r="J138" s="4" t="inlineStr">
        <is>
          <t>sizing-grade</t>
        </is>
      </c>
      <c r="K138" s="4" t="inlineStr">
        <is>
          <t>M3</t>
        </is>
      </c>
      <c r="L138" s="4" t="inlineStr">
        <is>
          <t>MOF low</t>
        </is>
      </c>
      <c r="M138" s="4" t="inlineStr">
        <is>
          <t>20 §3</t>
        </is>
      </c>
    </row>
    <row r="139">
      <c r="A139" s="3" t="inlineStr">
        <is>
          <t>SD-019</t>
        </is>
      </c>
      <c r="B139" s="4" t="inlineStr">
        <is>
          <t>Solid</t>
        </is>
      </c>
      <c r="C139" s="4" t="inlineStr">
        <is>
          <t>Energy</t>
        </is>
      </c>
      <c r="D139" s="4" t="inlineStr">
        <is>
          <t>Sensible bed cycling</t>
        </is>
      </c>
      <c r="E139" s="4" t="inlineStr">
        <is>
          <t>e_sens</t>
        </is>
      </c>
      <c r="F139" s="17" t="n"/>
      <c r="G139" s="17" t="n">
        <v>0.03</v>
      </c>
      <c r="H139" s="17" t="n">
        <v>0.1</v>
      </c>
      <c r="I139" s="4" t="inlineStr">
        <is>
          <t>kWh/L</t>
        </is>
      </c>
      <c r="J139" s="4" t="inlineStr">
        <is>
          <t>PENDING M3</t>
        </is>
      </c>
      <c r="K139" s="4" t="inlineStr">
        <is>
          <t>M3</t>
        </is>
      </c>
      <c r="L139" s="4" t="inlineStr">
        <is>
          <t>May be optimistic for the plumbing, not just the bed (doc 20 §4)</t>
        </is>
      </c>
      <c r="M139" s="4" t="inlineStr">
        <is>
          <t>20 §3</t>
        </is>
      </c>
    </row>
    <row r="140">
      <c r="A140" s="3" t="inlineStr">
        <is>
          <t>SD-020</t>
        </is>
      </c>
      <c r="B140" s="4" t="inlineStr">
        <is>
          <t>Solid</t>
        </is>
      </c>
      <c r="C140" s="4" t="inlineStr">
        <is>
          <t>Energy</t>
        </is>
      </c>
      <c r="D140" s="4" t="inlineStr">
        <is>
          <t>Total specific regeneration energy</t>
        </is>
      </c>
      <c r="E140" s="4" t="inlineStr">
        <is>
          <t>e_tot</t>
        </is>
      </c>
      <c r="F140" s="17" t="n"/>
      <c r="G140" s="17" t="n">
        <v>0.8</v>
      </c>
      <c r="H140" s="17" t="n">
        <v>1</v>
      </c>
      <c r="I140" s="4" t="inlineStr">
        <is>
          <t>kWh/L</t>
        </is>
      </c>
      <c r="J140" s="4" t="inlineStr">
        <is>
          <t>PENDING M3</t>
        </is>
      </c>
      <c r="K140" s="4" t="inlineStr">
        <is>
          <t>M3</t>
        </is>
      </c>
      <c r="L140" s="4" t="inlineStr">
        <is>
          <t>The M3 acceptance figure</t>
        </is>
      </c>
      <c r="M140" s="4" t="inlineStr">
        <is>
          <t>20 §3</t>
        </is>
      </c>
    </row>
    <row r="141">
      <c r="A141" s="3" t="inlineStr">
        <is>
          <t>SD-021</t>
        </is>
      </c>
      <c r="B141" s="4" t="inlineStr">
        <is>
          <t>Solid</t>
        </is>
      </c>
      <c r="C141" s="4" t="inlineStr">
        <is>
          <t>Energy</t>
        </is>
      </c>
      <c r="D141" s="4" t="inlineStr">
        <is>
          <t>Recoverable fraction of input</t>
        </is>
      </c>
      <c r="E141" s="4" t="inlineStr">
        <is>
          <t>—</t>
        </is>
      </c>
      <c r="F141" s="17" t="n"/>
      <c r="G141" s="17" t="n">
        <v>10</v>
      </c>
      <c r="H141" s="17" t="n">
        <v>15</v>
      </c>
      <c r="I141" s="4" t="inlineStr">
        <is>
          <t>%</t>
        </is>
      </c>
      <c r="J141" s="4" t="inlineStr">
        <is>
          <t>sizing-grade</t>
        </is>
      </c>
      <c r="K141" s="4" t="inlineStr"/>
      <c r="L141" s="4" t="inlineStr">
        <is>
          <t>Condenser latent is downhill and DHW-demand-capped (1–3 kWh/day)</t>
        </is>
      </c>
      <c r="M141" s="4" t="inlineStr">
        <is>
          <t>20 §3</t>
        </is>
      </c>
    </row>
    <row r="142">
      <c r="A142" s="3" t="inlineStr">
        <is>
          <t>SD-022</t>
        </is>
      </c>
      <c r="B142" s="4" t="inlineStr">
        <is>
          <t>Solid</t>
        </is>
      </c>
      <c r="C142" s="4" t="inlineStr">
        <is>
          <t>Water</t>
        </is>
      </c>
      <c r="D142" s="4" t="inlineStr">
        <is>
          <t>Regeneration condensate</t>
        </is>
      </c>
      <c r="E142" s="4" t="inlineStr">
        <is>
          <t>V̇_c</t>
        </is>
      </c>
      <c r="F142" s="17" t="n"/>
      <c r="G142" s="17" t="n">
        <v>150</v>
      </c>
      <c r="H142" s="17" t="n">
        <v>220</v>
      </c>
      <c r="I142" s="4" t="inlineStr">
        <is>
          <t>L/day</t>
        </is>
      </c>
      <c r="J142" s="4" t="inlineStr">
        <is>
          <t>sizing-grade</t>
        </is>
      </c>
      <c r="K142" s="4" t="inlineStr">
        <is>
          <t>T2</t>
        </is>
      </c>
      <c r="L142" s="4" t="inlineStr">
        <is>
          <t>Covers the M-cycle wet-channel feed</t>
        </is>
      </c>
      <c r="M142" s="4" t="inlineStr">
        <is>
          <t>20 §5</t>
        </is>
      </c>
    </row>
    <row r="143">
      <c r="A143" s="3" t="inlineStr">
        <is>
          <t>SD-023</t>
        </is>
      </c>
      <c r="B143" s="4" t="inlineStr">
        <is>
          <t>Solid</t>
        </is>
      </c>
      <c r="C143" s="4" t="inlineStr">
        <is>
          <t>Water</t>
        </is>
      </c>
      <c r="D143" s="4" t="inlineStr">
        <is>
          <t>Potable-grade surplus</t>
        </is>
      </c>
      <c r="E143" s="4" t="inlineStr">
        <is>
          <t>V̇_s</t>
        </is>
      </c>
      <c r="F143" s="17" t="n"/>
      <c r="G143" s="17" t="n">
        <v>50</v>
      </c>
      <c r="H143" s="17" t="n">
        <v>70</v>
      </c>
      <c r="I143" s="4" t="inlineStr">
        <is>
          <t>L/day</t>
        </is>
      </c>
      <c r="J143" s="4" t="inlineStr">
        <is>
          <t>sizing-grade</t>
        </is>
      </c>
      <c r="K143" s="4" t="inlineStr">
        <is>
          <t>T2</t>
        </is>
      </c>
      <c r="L143" s="4" t="inlineStr">
        <is>
          <t>The gains + ventilation terms; water-neutral M-cycle (X8)</t>
        </is>
      </c>
      <c r="M143" s="4" t="inlineStr">
        <is>
          <t>20 §5</t>
        </is>
      </c>
    </row>
    <row r="144">
      <c r="A144" s="3" t="inlineStr">
        <is>
          <t>SD-024</t>
        </is>
      </c>
      <c r="B144" s="4" t="inlineStr">
        <is>
          <t>Solid</t>
        </is>
      </c>
      <c r="C144" s="4" t="inlineStr">
        <is>
          <t>Regeneration</t>
        </is>
      </c>
      <c r="D144" s="4" t="inlineStr">
        <is>
          <t>Design regeneration temperature</t>
        </is>
      </c>
      <c r="E144" s="4" t="inlineStr">
        <is>
          <t>T_reg</t>
        </is>
      </c>
      <c r="F144" s="17" t="n"/>
      <c r="G144" s="17" t="n">
        <v>60</v>
      </c>
      <c r="H144" s="17" t="n">
        <v>65</v>
      </c>
      <c r="I144" s="4" t="inlineStr">
        <is>
          <t>°C</t>
        </is>
      </c>
      <c r="J144" s="4" t="inlineStr">
        <is>
          <t>sizing-grade</t>
        </is>
      </c>
      <c r="K144" s="4" t="inlineStr">
        <is>
          <t>M2</t>
        </is>
      </c>
      <c r="L144" s="4" t="inlineStr">
        <is>
          <t>Purge-humidity-dependent — the most misquoted figure in the literature</t>
        </is>
      </c>
      <c r="M144" s="4" t="inlineStr">
        <is>
          <t>20 §6</t>
        </is>
      </c>
    </row>
    <row r="145">
      <c r="A145" s="3" t="inlineStr">
        <is>
          <t>SD-025</t>
        </is>
      </c>
      <c r="B145" s="4" t="inlineStr">
        <is>
          <t>Solid</t>
        </is>
      </c>
      <c r="C145" s="4" t="inlineStr">
        <is>
          <t>Regeneration</t>
        </is>
      </c>
      <c r="D145" s="4" t="inlineStr">
        <is>
          <t>Representative purge humidity</t>
        </is>
      </c>
      <c r="E145" s="4" t="inlineStr">
        <is>
          <t>ω_purge</t>
        </is>
      </c>
      <c r="F145" s="17" t="n">
        <v>25</v>
      </c>
      <c r="G145" s="17" t="n">
        <v>24</v>
      </c>
      <c r="H145" s="17" t="n">
        <v>25</v>
      </c>
      <c r="I145" s="4" t="inlineStr">
        <is>
          <t>g/kg</t>
        </is>
      </c>
      <c r="J145" s="4" t="inlineStr">
        <is>
          <t>sizing-grade</t>
        </is>
      </c>
      <c r="K145" s="4" t="inlineStr">
        <is>
          <t>M2</t>
        </is>
      </c>
      <c r="L145" s="4" t="inlineStr">
        <is>
          <t>M2 is run against ~24 g/kg logged purge, never dry lab air</t>
        </is>
      </c>
      <c r="M145" s="4" t="inlineStr">
        <is>
          <t>20 §6</t>
        </is>
      </c>
    </row>
    <row r="146">
      <c r="A146" s="3" t="inlineStr">
        <is>
          <t>SD-026</t>
        </is>
      </c>
      <c r="B146" s="4" t="inlineStr">
        <is>
          <t>Solid</t>
        </is>
      </c>
      <c r="C146" s="4" t="inlineStr">
        <is>
          <t>Regeneration</t>
        </is>
      </c>
      <c r="D146" s="4" t="inlineStr">
        <is>
          <t>Purge RH at bed face, 45 °C</t>
        </is>
      </c>
      <c r="E146" s="4" t="inlineStr">
        <is>
          <t>RH_face</t>
        </is>
      </c>
      <c r="F146" s="17" t="n">
        <v>38</v>
      </c>
      <c r="G146" s="17" t="n"/>
      <c r="H146" s="17" t="n"/>
      <c r="I146" s="4" t="inlineStr">
        <is>
          <t>%</t>
        </is>
      </c>
      <c r="J146" s="4" t="inlineStr">
        <is>
          <t>sizing-grade</t>
        </is>
      </c>
      <c r="K146" s="4" t="inlineStr">
        <is>
          <t>M2</t>
        </is>
      </c>
      <c r="L146" s="4" t="inlineStr">
        <is>
          <t>Above AlFu's step — zero driving force (F2)</t>
        </is>
      </c>
      <c r="M146" s="4" t="inlineStr">
        <is>
          <t>20 §6</t>
        </is>
      </c>
    </row>
    <row r="147">
      <c r="A147" s="3" t="inlineStr">
        <is>
          <t>SD-027</t>
        </is>
      </c>
      <c r="B147" s="4" t="inlineStr">
        <is>
          <t>Solid</t>
        </is>
      </c>
      <c r="C147" s="4" t="inlineStr">
        <is>
          <t>Regeneration</t>
        </is>
      </c>
      <c r="D147" s="4" t="inlineStr">
        <is>
          <t>Purge RH at bed face, 50 °C</t>
        </is>
      </c>
      <c r="E147" s="4" t="inlineStr">
        <is>
          <t>RH_face</t>
        </is>
      </c>
      <c r="F147" s="17" t="n">
        <v>29</v>
      </c>
      <c r="G147" s="17" t="n"/>
      <c r="H147" s="17" t="n"/>
      <c r="I147" s="4" t="inlineStr">
        <is>
          <t>%</t>
        </is>
      </c>
      <c r="J147" s="4" t="inlineStr">
        <is>
          <t>sizing-grade</t>
        </is>
      </c>
      <c r="K147" s="4" t="inlineStr">
        <is>
          <t>M2</t>
        </is>
      </c>
      <c r="L147" s="4" t="inlineStr">
        <is>
          <t>On the step — marginal</t>
        </is>
      </c>
      <c r="M147" s="4" t="inlineStr">
        <is>
          <t>20 §6</t>
        </is>
      </c>
    </row>
    <row r="148">
      <c r="A148" s="3" t="inlineStr">
        <is>
          <t>SD-028</t>
        </is>
      </c>
      <c r="B148" s="4" t="inlineStr">
        <is>
          <t>Solid</t>
        </is>
      </c>
      <c r="C148" s="4" t="inlineStr">
        <is>
          <t>Regeneration</t>
        </is>
      </c>
      <c r="D148" s="4" t="inlineStr">
        <is>
          <t>Purge RH at bed face, 60 °C</t>
        </is>
      </c>
      <c r="E148" s="4" t="inlineStr">
        <is>
          <t>RH_face</t>
        </is>
      </c>
      <c r="F148" s="17" t="n">
        <v>17</v>
      </c>
      <c r="G148" s="17" t="n"/>
      <c r="H148" s="17" t="n"/>
      <c r="I148" s="4" t="inlineStr">
        <is>
          <t>%</t>
        </is>
      </c>
      <c r="J148" s="4" t="inlineStr">
        <is>
          <t>sizing-grade</t>
        </is>
      </c>
      <c r="K148" s="4" t="inlineStr">
        <is>
          <t>M2</t>
        </is>
      </c>
      <c r="L148" s="4" t="inlineStr">
        <is>
          <t>Below the step — works</t>
        </is>
      </c>
      <c r="M148" s="4" t="inlineStr">
        <is>
          <t>20 §6</t>
        </is>
      </c>
    </row>
    <row r="149">
      <c r="A149" s="3" t="inlineStr">
        <is>
          <t>SD-029</t>
        </is>
      </c>
      <c r="B149" s="4" t="inlineStr">
        <is>
          <t>Solid</t>
        </is>
      </c>
      <c r="C149" s="4" t="inlineStr">
        <is>
          <t>Regeneration</t>
        </is>
      </c>
      <c r="D149" s="4" t="inlineStr">
        <is>
          <t>Purge RH at bed face, 65 °C</t>
        </is>
      </c>
      <c r="E149" s="4" t="inlineStr">
        <is>
          <t>RH_face</t>
        </is>
      </c>
      <c r="F149" s="17" t="n">
        <v>13</v>
      </c>
      <c r="G149" s="17" t="n"/>
      <c r="H149" s="17" t="n"/>
      <c r="I149" s="4" t="inlineStr">
        <is>
          <t>%</t>
        </is>
      </c>
      <c r="J149" s="4" t="inlineStr">
        <is>
          <t>sizing-grade</t>
        </is>
      </c>
      <c r="K149" s="4" t="inlineStr">
        <is>
          <t>M2</t>
        </is>
      </c>
      <c r="L149" s="4" t="inlineStr">
        <is>
          <t>Below the step — comfortable</t>
        </is>
      </c>
      <c r="M149" s="4" t="inlineStr">
        <is>
          <t>20 §6</t>
        </is>
      </c>
    </row>
    <row r="150">
      <c r="A150" s="3" t="inlineStr">
        <is>
          <t>SD-030</t>
        </is>
      </c>
      <c r="B150" s="4" t="inlineStr">
        <is>
          <t>Solid</t>
        </is>
      </c>
      <c r="C150" s="4" t="inlineStr">
        <is>
          <t>Sorbent</t>
        </is>
      </c>
      <c r="D150" s="4" t="inlineStr">
        <is>
          <t>AlFu isotherm step position</t>
        </is>
      </c>
      <c r="E150" s="4" t="inlineStr">
        <is>
          <t>RH_step</t>
        </is>
      </c>
      <c r="F150" s="17" t="n"/>
      <c r="G150" s="17" t="n">
        <v>25</v>
      </c>
      <c r="H150" s="17" t="n">
        <v>30</v>
      </c>
      <c r="I150" s="4" t="inlineStr">
        <is>
          <t>%</t>
        </is>
      </c>
      <c r="J150" s="4" t="inlineStr">
        <is>
          <t>procurement-grade</t>
        </is>
      </c>
      <c r="K150" s="4" t="inlineStr">
        <is>
          <t>T4</t>
        </is>
      </c>
      <c r="L150" s="4" t="inlineStr">
        <is>
          <t>Type V; the decisive selection property</t>
        </is>
      </c>
      <c r="M150" s="4" t="inlineStr">
        <is>
          <t>21 §2</t>
        </is>
      </c>
    </row>
    <row r="151">
      <c r="A151" s="3" t="inlineStr">
        <is>
          <t>SD-031</t>
        </is>
      </c>
      <c r="B151" s="4" t="inlineStr">
        <is>
          <t>Solid</t>
        </is>
      </c>
      <c r="C151" s="4" t="inlineStr">
        <is>
          <t>Sorbent</t>
        </is>
      </c>
      <c r="D151" s="4" t="inlineStr">
        <is>
          <t>Working Δq, dry-purge full swing</t>
        </is>
      </c>
      <c r="E151" s="4" t="inlineStr">
        <is>
          <t>Δq</t>
        </is>
      </c>
      <c r="F151" s="17" t="n"/>
      <c r="G151" s="17" t="n">
        <v>0.2</v>
      </c>
      <c r="H151" s="17" t="n">
        <v>0.3</v>
      </c>
      <c r="I151" s="4" t="inlineStr">
        <is>
          <t>g/g</t>
        </is>
      </c>
      <c r="J151" s="4" t="inlineStr">
        <is>
          <t>procurement-grade</t>
        </is>
      </c>
      <c r="K151" s="4" t="inlineStr">
        <is>
          <t>T4</t>
        </is>
      </c>
      <c r="L151" s="4" t="inlineStr">
        <is>
          <t>F3: this is NOT the sizing number — see SD-032</t>
        </is>
      </c>
      <c r="M151" s="4" t="inlineStr">
        <is>
          <t>21 §2</t>
        </is>
      </c>
    </row>
    <row r="152">
      <c r="A152" s="3" t="inlineStr">
        <is>
          <t>SD-032</t>
        </is>
      </c>
      <c r="B152" s="4" t="inlineStr">
        <is>
          <t>Solid</t>
        </is>
      </c>
      <c r="C152" s="4" t="inlineStr">
        <is>
          <t>Sorbent</t>
        </is>
      </c>
      <c r="D152" s="4" t="inlineStr">
        <is>
          <t>Effective Δq under humid purge</t>
        </is>
      </c>
      <c r="E152" s="4" t="inlineStr">
        <is>
          <t>Δq_eff</t>
        </is>
      </c>
      <c r="F152" s="17" t="n"/>
      <c r="G152" s="17" t="n">
        <v>0.15</v>
      </c>
      <c r="H152" s="17" t="n">
        <v>0.2</v>
      </c>
      <c r="I152" s="4" t="inlineStr">
        <is>
          <t>g/g</t>
        </is>
      </c>
      <c r="J152" s="4" t="inlineStr">
        <is>
          <t>PENDING M2</t>
        </is>
      </c>
      <c r="K152" s="4" t="inlineStr">
        <is>
          <t>M2</t>
        </is>
      </c>
      <c r="L152" s="4" t="inlineStr">
        <is>
          <t>F3: residual 0.05–0.10 g/g at 60–65 °C → +25–50% inventory</t>
        </is>
      </c>
      <c r="M152" s="4" t="inlineStr">
        <is>
          <t>21 §6</t>
        </is>
      </c>
    </row>
    <row r="153">
      <c r="A153" s="3" t="inlineStr">
        <is>
          <t>SD-033</t>
        </is>
      </c>
      <c r="B153" s="4" t="inlineStr">
        <is>
          <t>Solid</t>
        </is>
      </c>
      <c r="C153" s="4" t="inlineStr">
        <is>
          <t>Sorbent</t>
        </is>
      </c>
      <c r="D153" s="4" t="inlineStr">
        <is>
          <t>Residual loading at 60–65 °C</t>
        </is>
      </c>
      <c r="E153" s="4" t="inlineStr">
        <is>
          <t>q_res</t>
        </is>
      </c>
      <c r="F153" s="17" t="n"/>
      <c r="G153" s="17" t="n">
        <v>0.05</v>
      </c>
      <c r="H153" s="17" t="n">
        <v>0.1</v>
      </c>
      <c r="I153" s="4" t="inlineStr">
        <is>
          <t>g/g</t>
        </is>
      </c>
      <c r="J153" s="4" t="inlineStr">
        <is>
          <t>PENDING M2</t>
        </is>
      </c>
      <c r="K153" s="4" t="inlineStr">
        <is>
          <t>M2</t>
        </is>
      </c>
      <c r="L153" s="4" t="inlineStr">
        <is>
          <t>Against ~25 g/kg purge</t>
        </is>
      </c>
      <c r="M153" s="4" t="inlineStr">
        <is>
          <t>21 §6</t>
        </is>
      </c>
    </row>
    <row r="154">
      <c r="A154" s="3" t="inlineStr">
        <is>
          <t>SD-034</t>
        </is>
      </c>
      <c r="B154" s="4" t="inlineStr">
        <is>
          <t>Solid</t>
        </is>
      </c>
      <c r="C154" s="4" t="inlineStr">
        <is>
          <t>Sorbent</t>
        </is>
      </c>
      <c r="D154" s="4" t="inlineStr">
        <is>
          <t>BET surface area, aqueous route</t>
        </is>
      </c>
      <c r="E154" s="4" t="inlineStr">
        <is>
          <t>S_BET</t>
        </is>
      </c>
      <c r="F154" s="17" t="n">
        <v>1135</v>
      </c>
      <c r="G154" s="17" t="n">
        <v>1000</v>
      </c>
      <c r="H154" s="17" t="n">
        <v>1135</v>
      </c>
      <c r="I154" s="4" t="inlineStr">
        <is>
          <t>m²/g</t>
        </is>
      </c>
      <c r="J154" s="4" t="inlineStr">
        <is>
          <t>procurement-grade</t>
        </is>
      </c>
      <c r="K154" s="4" t="inlineStr">
        <is>
          <t>T4</t>
        </is>
      </c>
      <c r="L154" s="4" t="inlineStr">
        <is>
          <t>QC gate 4: ≥1,000; target 1,100–1,135</t>
        </is>
      </c>
      <c r="M154" s="4" t="inlineStr">
        <is>
          <t>21 §6</t>
        </is>
      </c>
    </row>
    <row r="155">
      <c r="A155" s="3" t="inlineStr">
        <is>
          <t>SD-035</t>
        </is>
      </c>
      <c r="B155" s="4" t="inlineStr">
        <is>
          <t>Solid</t>
        </is>
      </c>
      <c r="C155" s="4" t="inlineStr">
        <is>
          <t>Sorbent</t>
        </is>
      </c>
      <c r="D155" s="4" t="inlineStr">
        <is>
          <t>BET surface area, grinding route</t>
        </is>
      </c>
      <c r="E155" s="4" t="inlineStr">
        <is>
          <t>S_BET</t>
        </is>
      </c>
      <c r="F155" s="17" t="n"/>
      <c r="G155" s="17" t="n">
        <v>750</v>
      </c>
      <c r="H155" s="17" t="n">
        <v>1100</v>
      </c>
      <c r="I155" s="4" t="inlineStr">
        <is>
          <t>m²/g</t>
        </is>
      </c>
      <c r="J155" s="4" t="inlineStr">
        <is>
          <t>PENDING T4</t>
        </is>
      </c>
      <c r="K155" s="4" t="inlineStr">
        <is>
          <t>T4</t>
        </is>
      </c>
      <c r="L155" s="4" t="inlineStr">
        <is>
          <t>Gate ≥750–800; expected 790–1,100</t>
        </is>
      </c>
      <c r="M155" s="4" t="inlineStr">
        <is>
          <t>21 §4</t>
        </is>
      </c>
    </row>
    <row r="156">
      <c r="A156" s="3" t="inlineStr">
        <is>
          <t>SD-036</t>
        </is>
      </c>
      <c r="B156" s="4" t="inlineStr">
        <is>
          <t>Solid</t>
        </is>
      </c>
      <c r="C156" s="4" t="inlineStr">
        <is>
          <t>Sorbent</t>
        </is>
      </c>
      <c r="D156" s="4" t="inlineStr">
        <is>
          <t>Yield gate (activated dry mass)</t>
        </is>
      </c>
      <c r="E156" s="4" t="inlineStr">
        <is>
          <t>Y</t>
        </is>
      </c>
      <c r="F156" s="17" t="n">
        <v>90</v>
      </c>
      <c r="G156" s="17" t="n"/>
      <c r="H156" s="17" t="n"/>
      <c r="I156" s="4" t="inlineStr">
        <is>
          <t>% theor.</t>
        </is>
      </c>
      <c r="J156" s="4" t="inlineStr">
        <is>
          <t>requirement</t>
        </is>
      </c>
      <c r="K156" s="4" t="inlineStr">
        <is>
          <t>T4</t>
        </is>
      </c>
      <c r="L156" s="4" t="inlineStr">
        <is>
          <t>~158 g/mol per Al</t>
        </is>
      </c>
      <c r="M156" s="4" t="inlineStr">
        <is>
          <t>21 §6</t>
        </is>
      </c>
    </row>
    <row r="157">
      <c r="A157" s="3" t="inlineStr">
        <is>
          <t>SD-037</t>
        </is>
      </c>
      <c r="B157" s="4" t="inlineStr">
        <is>
          <t>Solid</t>
        </is>
      </c>
      <c r="C157" s="4" t="inlineStr">
        <is>
          <t>Sorbent</t>
        </is>
      </c>
      <c r="D157" s="4" t="inlineStr">
        <is>
          <t>Demonstrated cycle life, AlFu</t>
        </is>
      </c>
      <c r="E157" s="4" t="inlineStr">
        <is>
          <t>N_cyc</t>
        </is>
      </c>
      <c r="F157" s="17" t="n">
        <v>4500</v>
      </c>
      <c r="G157" s="17" t="n"/>
      <c r="H157" s="17" t="n"/>
      <c r="I157" s="4" t="inlineStr">
        <is>
          <t>cycles</t>
        </is>
      </c>
      <c r="J157" s="4" t="inlineStr">
        <is>
          <t>measured (lit.)</t>
        </is>
      </c>
      <c r="K157" s="4" t="inlineStr">
        <is>
          <t>M4</t>
        </is>
      </c>
      <c r="L157" s="4" t="inlineStr">
        <is>
          <t>Unchanged; sibling CAU-10-H to 10,000. Failure mode is mechanical</t>
        </is>
      </c>
      <c r="M157" s="4" t="inlineStr">
        <is>
          <t>21 §2</t>
        </is>
      </c>
    </row>
    <row r="158">
      <c r="A158" s="3" t="inlineStr">
        <is>
          <t>SD-038</t>
        </is>
      </c>
      <c r="B158" s="4" t="inlineStr">
        <is>
          <t>Solid</t>
        </is>
      </c>
      <c r="C158" s="4" t="inlineStr">
        <is>
          <t>Coating</t>
        </is>
      </c>
      <c r="D158" s="4" t="inlineStr">
        <is>
          <t>Coating thickness</t>
        </is>
      </c>
      <c r="E158" s="4" t="inlineStr">
        <is>
          <t>t</t>
        </is>
      </c>
      <c r="F158" s="17" t="n"/>
      <c r="G158" s="17" t="n">
        <v>0.1</v>
      </c>
      <c r="H158" s="17" t="n">
        <v>0.5</v>
      </c>
      <c r="I158" s="4" t="inlineStr">
        <is>
          <t>mm</t>
        </is>
      </c>
      <c r="J158" s="4" t="inlineStr">
        <is>
          <t>sizing-grade</t>
        </is>
      </c>
      <c r="K158" s="4" t="inlineStr">
        <is>
          <t>M1</t>
        </is>
      </c>
      <c r="L158" s="4" t="inlineStr">
        <is>
          <t>Sprayed (preferred over dip) onto prepared aluminium</t>
        </is>
      </c>
      <c r="M158" s="4" t="inlineStr">
        <is>
          <t>22 §2</t>
        </is>
      </c>
    </row>
    <row r="159">
      <c r="A159" s="3" t="inlineStr">
        <is>
          <t>SD-039</t>
        </is>
      </c>
      <c r="B159" s="4" t="inlineStr">
        <is>
          <t>Solid</t>
        </is>
      </c>
      <c r="C159" s="4" t="inlineStr">
        <is>
          <t>Coating</t>
        </is>
      </c>
      <c r="D159" s="4" t="inlineStr">
        <is>
          <t>Sorbent loading, planform</t>
        </is>
      </c>
      <c r="E159" s="4" t="inlineStr">
        <is>
          <t>m"</t>
        </is>
      </c>
      <c r="F159" s="17" t="n">
        <v>0.18</v>
      </c>
      <c r="G159" s="17" t="n"/>
      <c r="H159" s="17" t="n"/>
      <c r="I159" s="4" t="inlineStr">
        <is>
          <t>kg/m²</t>
        </is>
      </c>
      <c r="J159" s="4" t="inlineStr">
        <is>
          <t>sizing-grade</t>
        </is>
      </c>
      <c r="K159" s="4" t="inlineStr">
        <is>
          <t>M1</t>
        </is>
      </c>
      <c r="L159" s="4" t="inlineStr"/>
      <c r="M159" s="4" t="inlineStr">
        <is>
          <t>22 §2</t>
        </is>
      </c>
    </row>
    <row r="160">
      <c r="A160" s="3" t="inlineStr">
        <is>
          <t>SD-040</t>
        </is>
      </c>
      <c r="B160" s="4" t="inlineStr">
        <is>
          <t>Solid</t>
        </is>
      </c>
      <c r="C160" s="4" t="inlineStr">
        <is>
          <t>Coating</t>
        </is>
      </c>
      <c r="D160" s="4" t="inlineStr">
        <is>
          <t>PVA hydrolysis grade</t>
        </is>
      </c>
      <c r="E160" s="4" t="inlineStr">
        <is>
          <t>—</t>
        </is>
      </c>
      <c r="F160" s="17" t="n"/>
      <c r="G160" s="17" t="n">
        <v>98</v>
      </c>
      <c r="H160" s="17" t="n">
        <v>99</v>
      </c>
      <c r="I160" s="4" t="inlineStr">
        <is>
          <t>%</t>
        </is>
      </c>
      <c r="J160" s="4" t="inlineStr">
        <is>
          <t>requirement</t>
        </is>
      </c>
      <c r="K160" s="4" t="inlineStr">
        <is>
          <t>M4</t>
        </is>
      </c>
      <c r="L160" s="4" t="inlineStr">
        <is>
          <t>Fully hydrolyzed only — partial grades redissolve in humid service</t>
        </is>
      </c>
      <c r="M160" s="4" t="inlineStr">
        <is>
          <t>22 §2</t>
        </is>
      </c>
    </row>
    <row r="161">
      <c r="A161" s="3" t="inlineStr">
        <is>
          <t>SD-041</t>
        </is>
      </c>
      <c r="B161" s="4" t="inlineStr">
        <is>
          <t>Solid</t>
        </is>
      </c>
      <c r="C161" s="4" t="inlineStr">
        <is>
          <t>Coating</t>
        </is>
      </c>
      <c r="D161" s="4" t="inlineStr">
        <is>
          <t>Binder fraction</t>
        </is>
      </c>
      <c r="E161" s="4" t="inlineStr">
        <is>
          <t>w_b</t>
        </is>
      </c>
      <c r="F161" s="17" t="n">
        <v>10</v>
      </c>
      <c r="G161" s="17" t="n"/>
      <c r="H161" s="17" t="n"/>
      <c r="I161" s="4" t="inlineStr">
        <is>
          <t>wt%</t>
        </is>
      </c>
      <c r="J161" s="4" t="inlineStr">
        <is>
          <t>sizing-grade</t>
        </is>
      </c>
      <c r="K161" s="4" t="inlineStr">
        <is>
          <t>M4</t>
        </is>
      </c>
      <c r="L161" s="4" t="inlineStr">
        <is>
          <t>Nominal; locked by test</t>
        </is>
      </c>
      <c r="M161" s="4" t="inlineStr">
        <is>
          <t>22 §2</t>
        </is>
      </c>
    </row>
    <row r="162">
      <c r="A162" s="3" t="inlineStr">
        <is>
          <t>SD-042</t>
        </is>
      </c>
      <c r="B162" s="4" t="inlineStr">
        <is>
          <t>Solid</t>
        </is>
      </c>
      <c r="C162" s="4" t="inlineStr">
        <is>
          <t>Coating</t>
        </is>
      </c>
      <c r="D162" s="4" t="inlineStr">
        <is>
          <t>Anneal / activation temperature</t>
        </is>
      </c>
      <c r="E162" s="4" t="inlineStr">
        <is>
          <t>T_act</t>
        </is>
      </c>
      <c r="F162" s="17" t="n"/>
      <c r="G162" s="17" t="n">
        <v>120</v>
      </c>
      <c r="H162" s="17" t="n">
        <v>150</v>
      </c>
      <c r="I162" s="4" t="inlineStr">
        <is>
          <t>°C</t>
        </is>
      </c>
      <c r="J162" s="4" t="inlineStr">
        <is>
          <t>requirement</t>
        </is>
      </c>
      <c r="K162" s="4" t="inlineStr"/>
      <c r="L162" s="4" t="inlineStr">
        <is>
          <t>6–12 h; doubles as the mandatory PVA anneal — a re-coat never skips it</t>
        </is>
      </c>
      <c r="M162" s="4" t="inlineStr">
        <is>
          <t>22 §2</t>
        </is>
      </c>
    </row>
    <row r="163">
      <c r="A163" s="3" t="inlineStr">
        <is>
          <t>SD-043</t>
        </is>
      </c>
      <c r="B163" s="4" t="inlineStr">
        <is>
          <t>Solid</t>
        </is>
      </c>
      <c r="C163" s="4" t="inlineStr">
        <is>
          <t>Sizing</t>
        </is>
      </c>
      <c r="D163" s="4" t="inlineStr">
        <is>
          <t>Sorbent inventory, envelope-only basis</t>
        </is>
      </c>
      <c r="E163" s="4" t="inlineStr">
        <is>
          <t>m_s</t>
        </is>
      </c>
      <c r="F163" s="17" t="n"/>
      <c r="G163" s="17" t="n">
        <v>3</v>
      </c>
      <c r="H163" s="17" t="n">
        <v>4</v>
      </c>
      <c r="I163" s="4" t="inlineStr">
        <is>
          <t>kg</t>
        </is>
      </c>
      <c r="J163" s="4" t="inlineStr">
        <is>
          <t>superseded</t>
        </is>
      </c>
      <c r="K163" s="4" t="inlineStr">
        <is>
          <t>T2</t>
        </is>
      </c>
      <c r="L163" s="4" t="inlineStr">
        <is>
          <t>Cautionary row; real charge is 3–5× this, then +25–50% for F3</t>
        </is>
      </c>
      <c r="M163" s="4" t="inlineStr">
        <is>
          <t>22 §4</t>
        </is>
      </c>
    </row>
    <row r="164">
      <c r="A164" s="3" t="inlineStr">
        <is>
          <t>SD-044</t>
        </is>
      </c>
      <c r="B164" s="4" t="inlineStr">
        <is>
          <t>Solid</t>
        </is>
      </c>
      <c r="C164" s="4" t="inlineStr">
        <is>
          <t>Sizing</t>
        </is>
      </c>
      <c r="D164" s="4" t="inlineStr">
        <is>
          <t>Coated HX area, envelope-only basis</t>
        </is>
      </c>
      <c r="E164" s="4" t="inlineStr">
        <is>
          <t>A_c</t>
        </is>
      </c>
      <c r="F164" s="17" t="n"/>
      <c r="G164" s="17" t="n">
        <v>10</v>
      </c>
      <c r="H164" s="17" t="n">
        <v>13</v>
      </c>
      <c r="I164" s="4" t="inlineStr">
        <is>
          <t>m²</t>
        </is>
      </c>
      <c r="J164" s="4" t="inlineStr">
        <is>
          <t>superseded</t>
        </is>
      </c>
      <c r="K164" s="4" t="inlineStr">
        <is>
          <t>T2</t>
        </is>
      </c>
      <c r="L164" s="4" t="inlineStr">
        <is>
          <t>Scales with the corrected duty</t>
        </is>
      </c>
      <c r="M164" s="4" t="inlineStr">
        <is>
          <t>22 §4</t>
        </is>
      </c>
    </row>
    <row r="165">
      <c r="A165" s="3" t="inlineStr">
        <is>
          <t>SD-045</t>
        </is>
      </c>
      <c r="B165" s="4" t="inlineStr">
        <is>
          <t>Solid</t>
        </is>
      </c>
      <c r="C165" s="4" t="inlineStr">
        <is>
          <t>Sizing</t>
        </is>
      </c>
      <c r="D165" s="4" t="inlineStr">
        <is>
          <t>Inventory multiplier, self-consistent duty</t>
        </is>
      </c>
      <c r="E165" s="4" t="inlineStr">
        <is>
          <t>—</t>
        </is>
      </c>
      <c r="F165" s="17" t="n"/>
      <c r="G165" s="17" t="n">
        <v>3</v>
      </c>
      <c r="H165" s="17" t="n">
        <v>5</v>
      </c>
      <c r="I165" s="4" t="inlineStr">
        <is>
          <t>×</t>
        </is>
      </c>
      <c r="J165" s="4" t="inlineStr">
        <is>
          <t>sizing-grade</t>
        </is>
      </c>
      <c r="K165" s="4" t="inlineStr">
        <is>
          <t>T2</t>
        </is>
      </c>
      <c r="L165" s="4" t="inlineStr">
        <is>
          <t>Over the envelope-only row</t>
        </is>
      </c>
      <c r="M165" s="4" t="inlineStr">
        <is>
          <t>22 §4</t>
        </is>
      </c>
    </row>
    <row r="166">
      <c r="A166" s="3" t="inlineStr">
        <is>
          <t>SD-046</t>
        </is>
      </c>
      <c r="B166" s="4" t="inlineStr">
        <is>
          <t>Solid</t>
        </is>
      </c>
      <c r="C166" s="4" t="inlineStr">
        <is>
          <t>Sizing</t>
        </is>
      </c>
      <c r="D166" s="4" t="inlineStr">
        <is>
          <t>Inventory multiplier, F3 compounded</t>
        </is>
      </c>
      <c r="E166" s="4" t="inlineStr">
        <is>
          <t>—</t>
        </is>
      </c>
      <c r="F166" s="17" t="n"/>
      <c r="G166" s="17" t="n">
        <v>1.25</v>
      </c>
      <c r="H166" s="17" t="n">
        <v>1.5</v>
      </c>
      <c r="I166" s="4" t="inlineStr">
        <is>
          <t>×</t>
        </is>
      </c>
      <c r="J166" s="4" t="inlineStr">
        <is>
          <t>PENDING M2</t>
        </is>
      </c>
      <c r="K166" s="4" t="inlineStr">
        <is>
          <t>M2</t>
        </is>
      </c>
      <c r="L166" s="4" t="inlineStr">
        <is>
          <t>Applied on top of SD-045</t>
        </is>
      </c>
      <c r="M166" s="4" t="inlineStr">
        <is>
          <t>22 §4</t>
        </is>
      </c>
    </row>
    <row r="167">
      <c r="A167" s="3" t="inlineStr">
        <is>
          <t>SD-047</t>
        </is>
      </c>
      <c r="B167" s="4" t="inlineStr">
        <is>
          <t>Solid</t>
        </is>
      </c>
      <c r="C167" s="4" t="inlineStr">
        <is>
          <t>Hardware</t>
        </is>
      </c>
      <c r="D167" s="4" t="inlineStr">
        <is>
          <t>DCHX volumetric duty</t>
        </is>
      </c>
      <c r="E167" s="4" t="inlineStr">
        <is>
          <t>—</t>
        </is>
      </c>
      <c r="F167" s="17" t="n">
        <v>90</v>
      </c>
      <c r="G167" s="17" t="n"/>
      <c r="H167" s="17" t="n"/>
      <c r="I167" s="4" t="inlineStr">
        <is>
          <t>kW/m³</t>
        </is>
      </c>
      <c r="J167" s="4" t="inlineStr">
        <is>
          <t>reference</t>
        </is>
      </c>
      <c r="K167" s="4" t="inlineStr"/>
      <c r="L167" s="4" t="inlineStr">
        <is>
          <t>vs ~59 for packed granular beds; 3–5× heat-transfer rate</t>
        </is>
      </c>
      <c r="M167" s="4" t="inlineStr">
        <is>
          <t>22 §1</t>
        </is>
      </c>
    </row>
    <row r="168">
      <c r="A168" s="3" t="inlineStr">
        <is>
          <t>SD-048</t>
        </is>
      </c>
      <c r="B168" s="4" t="inlineStr">
        <is>
          <t>Solid</t>
        </is>
      </c>
      <c r="C168" s="4" t="inlineStr">
        <is>
          <t>Synthesis</t>
        </is>
      </c>
      <c r="D168" s="4" t="inlineStr">
        <is>
          <t>Al₂(SO₄)₃·18H₂O, bench batch</t>
        </is>
      </c>
      <c r="E168" s="4" t="inlineStr">
        <is>
          <t>m</t>
        </is>
      </c>
      <c r="F168" s="17" t="n">
        <v>166.6</v>
      </c>
      <c r="G168" s="17" t="n"/>
      <c r="H168" s="17" t="n"/>
      <c r="I168" s="4" t="inlineStr">
        <is>
          <t>g</t>
        </is>
      </c>
      <c r="J168" s="4" t="inlineStr">
        <is>
          <t>procurement-grade</t>
        </is>
      </c>
      <c r="K168" s="4" t="inlineStr">
        <is>
          <t>T1</t>
        </is>
      </c>
      <c r="L168" s="4" t="inlineStr">
        <is>
          <t>MW 666.43; 0.50 mol Al → ~75 g MOF (validation 41.7 g / full 5.5 kg)</t>
        </is>
      </c>
      <c r="M168" s="4" t="inlineStr">
        <is>
          <t>21 §3</t>
        </is>
      </c>
    </row>
    <row r="169">
      <c r="A169" s="3" t="inlineStr">
        <is>
          <t>SD-049</t>
        </is>
      </c>
      <c r="B169" s="4" t="inlineStr">
        <is>
          <t>Solid</t>
        </is>
      </c>
      <c r="C169" s="4" t="inlineStr">
        <is>
          <t>Synthesis</t>
        </is>
      </c>
      <c r="D169" s="4" t="inlineStr">
        <is>
          <t>Fumaric acid, bench batch</t>
        </is>
      </c>
      <c r="E169" s="4" t="inlineStr">
        <is>
          <t>m</t>
        </is>
      </c>
      <c r="F169" s="17" t="n">
        <v>58</v>
      </c>
      <c r="G169" s="17" t="n"/>
      <c r="H169" s="17" t="n"/>
      <c r="I169" s="4" t="inlineStr">
        <is>
          <t>g</t>
        </is>
      </c>
      <c r="J169" s="4" t="inlineStr">
        <is>
          <t>procurement-grade</t>
        </is>
      </c>
      <c r="K169" s="4" t="inlineStr">
        <is>
          <t>T1</t>
        </is>
      </c>
      <c r="L169" s="4" t="inlineStr">
        <is>
          <t>MW 116.07; 0.50 mol (validation 14.5 g / full 1.9 kg)</t>
        </is>
      </c>
      <c r="M169" s="4" t="inlineStr">
        <is>
          <t>21 §3</t>
        </is>
      </c>
    </row>
    <row r="170">
      <c r="A170" s="3" t="inlineStr">
        <is>
          <t>SD-050</t>
        </is>
      </c>
      <c r="B170" s="4" t="inlineStr">
        <is>
          <t>Solid</t>
        </is>
      </c>
      <c r="C170" s="4" t="inlineStr">
        <is>
          <t>Synthesis</t>
        </is>
      </c>
      <c r="D170" s="4" t="inlineStr">
        <is>
          <t>NaOH, bench batch</t>
        </is>
      </c>
      <c r="E170" s="4" t="inlineStr">
        <is>
          <t>m</t>
        </is>
      </c>
      <c r="F170" s="17" t="n">
        <v>40</v>
      </c>
      <c r="G170" s="17" t="n"/>
      <c r="H170" s="17" t="n"/>
      <c r="I170" s="4" t="inlineStr">
        <is>
          <t>g</t>
        </is>
      </c>
      <c r="J170" s="4" t="inlineStr">
        <is>
          <t>procurement-grade</t>
        </is>
      </c>
      <c r="K170" s="4" t="inlineStr">
        <is>
          <t>T1</t>
        </is>
      </c>
      <c r="L170" s="4" t="inlineStr">
        <is>
          <t>MW 40.00; 1.00 mol → 1:1:2 mole check (validation 10 g / full 1.3 kg)</t>
        </is>
      </c>
      <c r="M170" s="4" t="inlineStr">
        <is>
          <t>21 §3</t>
        </is>
      </c>
    </row>
    <row r="171">
      <c r="A171" s="3" t="inlineStr">
        <is>
          <t>SD-051</t>
        </is>
      </c>
      <c r="B171" s="4" t="inlineStr">
        <is>
          <t>Solid</t>
        </is>
      </c>
      <c r="C171" s="4" t="inlineStr">
        <is>
          <t>Synthesis</t>
        </is>
      </c>
      <c r="D171" s="4" t="inlineStr">
        <is>
          <t>DI water, bench batch</t>
        </is>
      </c>
      <c r="E171" s="4" t="inlineStr">
        <is>
          <t>V</t>
        </is>
      </c>
      <c r="F171" s="17" t="n">
        <v>750</v>
      </c>
      <c r="G171" s="17" t="n"/>
      <c r="H171" s="17" t="n"/>
      <c r="I171" s="4" t="inlineStr">
        <is>
          <t>mL</t>
        </is>
      </c>
      <c r="J171" s="4" t="inlineStr">
        <is>
          <t>procurement-grade</t>
        </is>
      </c>
      <c r="K171" s="4" t="inlineStr">
        <is>
          <t>T1</t>
        </is>
      </c>
      <c r="L171" s="4" t="inlineStr">
        <is>
          <t>~190 mL for the validation batch</t>
        </is>
      </c>
      <c r="M171" s="4" t="inlineStr">
        <is>
          <t>21 §3</t>
        </is>
      </c>
    </row>
    <row r="172">
      <c r="A172" s="3" t="inlineStr">
        <is>
          <t>SD-052</t>
        </is>
      </c>
      <c r="B172" s="4" t="inlineStr">
        <is>
          <t>Solid</t>
        </is>
      </c>
      <c r="C172" s="4" t="inlineStr">
        <is>
          <t>Synthesis</t>
        </is>
      </c>
      <c r="D172" s="4" t="inlineStr">
        <is>
          <t>Precipitation temperature</t>
        </is>
      </c>
      <c r="E172" s="4" t="inlineStr">
        <is>
          <t>T</t>
        </is>
      </c>
      <c r="F172" s="17" t="n">
        <v>60</v>
      </c>
      <c r="G172" s="17" t="n"/>
      <c r="H172" s="17" t="n"/>
      <c r="I172" s="4" t="inlineStr">
        <is>
          <t>°C</t>
        </is>
      </c>
      <c r="J172" s="4" t="inlineStr">
        <is>
          <t>procurement-grade</t>
        </is>
      </c>
      <c r="K172" s="4" t="inlineStr">
        <is>
          <t>T1</t>
        </is>
      </c>
      <c r="L172" s="4" t="inlineStr">
        <is>
          <t>Hold 30–60 min; wash 3–4× DI; dry ~100 °C</t>
        </is>
      </c>
      <c r="M172" s="4" t="inlineStr">
        <is>
          <t>21 §3</t>
        </is>
      </c>
    </row>
    <row r="173">
      <c r="A173" s="3" t="inlineStr">
        <is>
          <t>SD-053</t>
        </is>
      </c>
      <c r="B173" s="4" t="inlineStr">
        <is>
          <t>Solid</t>
        </is>
      </c>
      <c r="C173" s="4" t="inlineStr">
        <is>
          <t>Synthesis</t>
        </is>
      </c>
      <c r="D173" s="4" t="inlineStr">
        <is>
          <t>LAG liquid ratio</t>
        </is>
      </c>
      <c r="E173" s="4" t="inlineStr">
        <is>
          <t>η</t>
        </is>
      </c>
      <c r="F173" s="17" t="n"/>
      <c r="G173" s="17" t="n">
        <v>0.1</v>
      </c>
      <c r="H173" s="17" t="n">
        <v>1</v>
      </c>
      <c r="I173" s="4" t="inlineStr">
        <is>
          <t>µL/mg</t>
        </is>
      </c>
      <c r="J173" s="4" t="inlineStr">
        <is>
          <t>developmental</t>
        </is>
      </c>
      <c r="K173" s="4" t="inlineStr">
        <is>
          <t>T1</t>
        </is>
      </c>
      <c r="L173" s="4" t="inlineStr">
        <is>
          <t>Route B; 1 Al : 1 fumarate, no base</t>
        </is>
      </c>
      <c r="M173" s="4" t="inlineStr">
        <is>
          <t>21 §4</t>
        </is>
      </c>
    </row>
    <row r="174">
      <c r="A174" s="3" t="inlineStr">
        <is>
          <t>SD-054</t>
        </is>
      </c>
      <c r="B174" s="4" t="inlineStr">
        <is>
          <t>Solid</t>
        </is>
      </c>
      <c r="C174" s="4" t="inlineStr">
        <is>
          <t>Synthesis</t>
        </is>
      </c>
      <c r="D174" s="4" t="inlineStr">
        <is>
          <t>LAG aging temperature</t>
        </is>
      </c>
      <c r="E174" s="4" t="inlineStr">
        <is>
          <t>T_age</t>
        </is>
      </c>
      <c r="F174" s="17" t="n"/>
      <c r="G174" s="17" t="n">
        <v>110</v>
      </c>
      <c r="H174" s="17" t="n">
        <v>120</v>
      </c>
      <c r="I174" s="4" t="inlineStr">
        <is>
          <t>°C</t>
        </is>
      </c>
      <c r="J174" s="4" t="inlineStr">
        <is>
          <t>developmental</t>
        </is>
      </c>
      <c r="K174" s="4" t="inlineStr">
        <is>
          <t>T1</t>
        </is>
      </c>
      <c r="L174" s="4" t="inlineStr">
        <is>
          <t>The aging step does much of the crystal growth</t>
        </is>
      </c>
      <c r="M174" s="4" t="inlineStr">
        <is>
          <t>21 §4</t>
        </is>
      </c>
    </row>
    <row r="175">
      <c r="A175" s="3" t="inlineStr">
        <is>
          <t>SD-055</t>
        </is>
      </c>
      <c r="B175" s="4" t="inlineStr">
        <is>
          <t>Solid</t>
        </is>
      </c>
      <c r="C175" s="4" t="inlineStr">
        <is>
          <t>Synthesis</t>
        </is>
      </c>
      <c r="D175" s="4" t="inlineStr">
        <is>
          <t>Ball-to-powder ratio (mill path)</t>
        </is>
      </c>
      <c r="E175" s="4" t="inlineStr">
        <is>
          <t>BPR</t>
        </is>
      </c>
      <c r="F175" s="17" t="n"/>
      <c r="G175" s="17" t="n">
        <v>10</v>
      </c>
      <c r="H175" s="17" t="n">
        <v>30</v>
      </c>
      <c r="I175" s="4" t="inlineStr">
        <is>
          <t>×</t>
        </is>
      </c>
      <c r="J175" s="4" t="inlineStr">
        <is>
          <t>developmental</t>
        </is>
      </c>
      <c r="K175" s="4" t="inlineStr">
        <is>
          <t>T1</t>
        </is>
      </c>
      <c r="L175" s="4" t="inlineStr">
        <is>
          <t>Mill path only; mill-zero is mortar-and-pestle</t>
        </is>
      </c>
      <c r="M175" s="4" t="inlineStr">
        <is>
          <t>21 §4</t>
        </is>
      </c>
    </row>
    <row r="176">
      <c r="A176" s="3" t="inlineStr">
        <is>
          <t>SD-056</t>
        </is>
      </c>
      <c r="B176" s="4" t="inlineStr">
        <is>
          <t>Solid</t>
        </is>
      </c>
      <c r="C176" s="4" t="inlineStr">
        <is>
          <t>Synthesis</t>
        </is>
      </c>
      <c r="D176" s="4" t="inlineStr">
        <is>
          <t>Full-charge synthesis scale</t>
        </is>
      </c>
      <c r="E176" s="4" t="inlineStr">
        <is>
          <t>m</t>
        </is>
      </c>
      <c r="F176" s="17" t="n">
        <v>2.5</v>
      </c>
      <c r="G176" s="17" t="n"/>
      <c r="H176" s="17" t="n"/>
      <c r="I176" s="4" t="inlineStr">
        <is>
          <t>kg</t>
        </is>
      </c>
      <c r="J176" s="4" t="inlineStr">
        <is>
          <t>indicative</t>
        </is>
      </c>
      <c r="K176" s="4" t="inlineStr">
        <is>
          <t>T2</t>
        </is>
      </c>
      <c r="L176" s="4" t="inlineStr">
        <is>
          <t>Mill returns at scale-up — hand-grinding does not scale</t>
        </is>
      </c>
      <c r="M176" s="4" t="inlineStr">
        <is>
          <t>21 §3</t>
        </is>
      </c>
    </row>
    <row r="177">
      <c r="A177" s="3" t="inlineStr">
        <is>
          <t>SD-057</t>
        </is>
      </c>
      <c r="B177" s="4" t="inlineStr">
        <is>
          <t>Solid</t>
        </is>
      </c>
      <c r="C177" s="4" t="inlineStr">
        <is>
          <t>Bench rig</t>
        </is>
      </c>
      <c r="D177" s="4" t="inlineStr">
        <is>
          <t>Coupon loop flow</t>
        </is>
      </c>
      <c r="E177" s="4" t="inlineStr">
        <is>
          <t>V̇</t>
        </is>
      </c>
      <c r="F177" s="17" t="n"/>
      <c r="G177" s="17" t="n">
        <v>0.5</v>
      </c>
      <c r="H177" s="17" t="n">
        <v>1.5</v>
      </c>
      <c r="I177" s="4" t="inlineStr">
        <is>
          <t>L/min</t>
        </is>
      </c>
      <c r="J177" s="4" t="inlineStr">
        <is>
          <t>procurement-grade</t>
        </is>
      </c>
      <c r="K177" s="4" t="inlineStr">
        <is>
          <t>M3</t>
        </is>
      </c>
      <c r="L177" s="4" t="inlineStr">
        <is>
          <t>Hot-water-rated DC pump; all-Al + SS wetted path, distilled water</t>
        </is>
      </c>
      <c r="M177" s="4" t="inlineStr">
        <is>
          <t>22 §5</t>
        </is>
      </c>
    </row>
    <row r="178">
      <c r="A178" s="3" t="inlineStr">
        <is>
          <t>SD-058</t>
        </is>
      </c>
      <c r="B178" s="4" t="inlineStr">
        <is>
          <t>Solid</t>
        </is>
      </c>
      <c r="C178" s="4" t="inlineStr">
        <is>
          <t>Bench rig</t>
        </is>
      </c>
      <c r="D178" s="4" t="inlineStr">
        <is>
          <t>Hot reservoir range</t>
        </is>
      </c>
      <c r="E178" s="4" t="inlineStr">
        <is>
          <t>T</t>
        </is>
      </c>
      <c r="F178" s="17" t="n"/>
      <c r="G178" s="17" t="n">
        <v>50</v>
      </c>
      <c r="H178" s="17" t="n">
        <v>90</v>
      </c>
      <c r="I178" s="4" t="inlineStr">
        <is>
          <t>°C</t>
        </is>
      </c>
      <c r="J178" s="4" t="inlineStr">
        <is>
          <t>procurement-grade</t>
        </is>
      </c>
      <c r="K178" s="4" t="inlineStr">
        <is>
          <t>M2</t>
        </is>
      </c>
      <c r="L178" s="4" t="inlineStr">
        <is>
          <t>Sous-vide circulator as the precision hot source</t>
        </is>
      </c>
      <c r="M178" s="4" t="inlineStr">
        <is>
          <t>22 §5</t>
        </is>
      </c>
    </row>
    <row r="179">
      <c r="A179" s="3" t="inlineStr">
        <is>
          <t>SD-059</t>
        </is>
      </c>
      <c r="B179" s="4" t="inlineStr">
        <is>
          <t>Solid</t>
        </is>
      </c>
      <c r="C179" s="4" t="inlineStr">
        <is>
          <t>Bench rig</t>
        </is>
      </c>
      <c r="D179" s="4" t="inlineStr">
        <is>
          <t>Cold reservoir range</t>
        </is>
      </c>
      <c r="E179" s="4" t="inlineStr">
        <is>
          <t>T</t>
        </is>
      </c>
      <c r="F179" s="17" t="n"/>
      <c r="G179" s="17" t="n">
        <v>10</v>
      </c>
      <c r="H179" s="17" t="n">
        <v>25</v>
      </c>
      <c r="I179" s="4" t="inlineStr">
        <is>
          <t>°C</t>
        </is>
      </c>
      <c r="J179" s="4" t="inlineStr">
        <is>
          <t>procurement-grade</t>
        </is>
      </c>
      <c r="K179" s="4" t="inlineStr">
        <is>
          <t>M1</t>
        </is>
      </c>
      <c r="L179" s="4" t="inlineStr">
        <is>
          <t>Ambient / ice-bathed</t>
        </is>
      </c>
      <c r="M179" s="4" t="inlineStr">
        <is>
          <t>22 §5</t>
        </is>
      </c>
    </row>
    <row r="180">
      <c r="A180" s="3" t="inlineStr">
        <is>
          <t>SD-060</t>
        </is>
      </c>
      <c r="B180" s="4" t="inlineStr">
        <is>
          <t>Solid</t>
        </is>
      </c>
      <c r="C180" s="4" t="inlineStr">
        <is>
          <t>Bench rig</t>
        </is>
      </c>
      <c r="D180" s="4" t="inlineStr">
        <is>
          <t>Capacitive RH sensor validity ceiling</t>
        </is>
      </c>
      <c r="E180" s="4" t="inlineStr">
        <is>
          <t>T</t>
        </is>
      </c>
      <c r="F180" s="17" t="n">
        <v>60</v>
      </c>
      <c r="G180" s="17" t="n"/>
      <c r="H180" s="17" t="n"/>
      <c r="I180" s="4" t="inlineStr">
        <is>
          <t>°C</t>
        </is>
      </c>
      <c r="J180" s="4" t="inlineStr">
        <is>
          <t>procurement-grade</t>
        </is>
      </c>
      <c r="K180" s="4" t="inlineStr"/>
      <c r="L180" s="4" t="inlineStr">
        <is>
          <t>Spec'd 20–80% RH; drifts ~+3% RH in sustained saturation → use wet/dry bulb</t>
        </is>
      </c>
      <c r="M180" s="4" t="inlineStr">
        <is>
          <t>22 §7</t>
        </is>
      </c>
    </row>
    <row r="181">
      <c r="A181" s="3" t="inlineStr">
        <is>
          <t>SD-061</t>
        </is>
      </c>
      <c r="B181" s="4" t="inlineStr">
        <is>
          <t>Solid</t>
        </is>
      </c>
      <c r="C181" s="4" t="inlineStr">
        <is>
          <t>Bench rig</t>
        </is>
      </c>
      <c r="D181" s="4" t="inlineStr">
        <is>
          <t>Durability cycle count</t>
        </is>
      </c>
      <c r="E181" s="4" t="inlineStr">
        <is>
          <t>N_cyc</t>
        </is>
      </c>
      <c r="F181" s="17" t="n"/>
      <c r="G181" s="17" t="n">
        <v>100</v>
      </c>
      <c r="H181" s="17" t="n">
        <v>1000</v>
      </c>
      <c r="I181" s="4" t="inlineStr">
        <is>
          <t>cycles</t>
        </is>
      </c>
      <c r="J181" s="4" t="inlineStr">
        <is>
          <t>requirement</t>
        </is>
      </c>
      <c r="K181" s="4" t="inlineStr">
        <is>
          <t>M4</t>
        </is>
      </c>
      <c r="L181" s="4" t="inlineStr">
        <is>
          <t>Capacity fade + coating mass loss/delamination</t>
        </is>
      </c>
      <c r="M181" s="4" t="inlineStr">
        <is>
          <t>22 §6</t>
        </is>
      </c>
    </row>
    <row r="182">
      <c r="A182" s="3" t="inlineStr">
        <is>
          <t>CO2-001</t>
        </is>
      </c>
      <c r="B182" s="4" t="inlineStr">
        <is>
          <t>Shared</t>
        </is>
      </c>
      <c r="C182" s="4" t="inlineStr">
        <is>
          <t>Spec P17</t>
        </is>
      </c>
      <c r="D182" s="4" t="inlineStr">
        <is>
          <t>Cabin CO₂ limit, all modes</t>
        </is>
      </c>
      <c r="E182" s="4" t="inlineStr">
        <is>
          <t>c_CO2</t>
        </is>
      </c>
      <c r="F182" s="17" t="n">
        <v>1000</v>
      </c>
      <c r="G182" s="17" t="n"/>
      <c r="H182" s="17" t="n"/>
      <c r="I182" s="4" t="inlineStr">
        <is>
          <t>ppm</t>
        </is>
      </c>
      <c r="J182" s="4" t="inlineStr">
        <is>
          <t>requirement</t>
        </is>
      </c>
      <c r="K182" s="4" t="inlineStr">
        <is>
          <t>J</t>
        </is>
      </c>
      <c r="L182" s="4" t="inlineStr">
        <is>
          <t>Safety-critical; includes sealed operation</t>
        </is>
      </c>
      <c r="M182" s="4" t="inlineStr">
        <is>
          <t>00 §5</t>
        </is>
      </c>
    </row>
    <row r="183">
      <c r="A183" s="3" t="inlineStr">
        <is>
          <t>CO2-002</t>
        </is>
      </c>
      <c r="B183" s="4" t="inlineStr">
        <is>
          <t>Shared</t>
        </is>
      </c>
      <c r="C183" s="4" t="inlineStr">
        <is>
          <t>Spec P17</t>
        </is>
      </c>
      <c r="D183" s="4" t="inlineStr">
        <is>
          <t>Alarm + forced boost threshold</t>
        </is>
      </c>
      <c r="E183" s="4" t="inlineStr">
        <is>
          <t>c_CO2</t>
        </is>
      </c>
      <c r="F183" s="17" t="n">
        <v>2000</v>
      </c>
      <c r="G183" s="17" t="n"/>
      <c r="H183" s="17" t="n"/>
      <c r="I183" s="4" t="inlineStr">
        <is>
          <t>ppm</t>
        </is>
      </c>
      <c r="J183" s="4" t="inlineStr">
        <is>
          <t>requirement</t>
        </is>
      </c>
      <c r="K183" s="4" t="inlineStr"/>
      <c r="L183" s="4" t="inlineStr">
        <is>
          <t>Per-room max sensing governs the interlock</t>
        </is>
      </c>
      <c r="M183" s="4" t="inlineStr">
        <is>
          <t>00 §5</t>
        </is>
      </c>
    </row>
    <row r="184">
      <c r="A184" s="3" t="inlineStr">
        <is>
          <t>CO2-003</t>
        </is>
      </c>
      <c r="B184" s="4" t="inlineStr">
        <is>
          <t>Shared</t>
        </is>
      </c>
      <c r="C184" s="4" t="inlineStr">
        <is>
          <t>Ventilation</t>
        </is>
      </c>
      <c r="D184" s="4" t="inlineStr">
        <is>
          <t>CO₂ generation, 4 occupants awake</t>
        </is>
      </c>
      <c r="E184" s="4" t="inlineStr">
        <is>
          <t>V̇_CO2</t>
        </is>
      </c>
      <c r="F184" s="17" t="n">
        <v>0.07199999999999999</v>
      </c>
      <c r="G184" s="17" t="n"/>
      <c r="H184" s="17" t="n"/>
      <c r="I184" s="4" t="inlineStr">
        <is>
          <t>m³/h</t>
        </is>
      </c>
      <c r="J184" s="4" t="inlineStr">
        <is>
          <t>reference</t>
        </is>
      </c>
      <c r="K184" s="4" t="inlineStr"/>
      <c r="L184" s="4" t="inlineStr">
        <is>
          <t>Crew total, not per person (0.047 asleep); ≈3.4 kg/day</t>
        </is>
      </c>
      <c r="M184" s="4" t="inlineStr">
        <is>
          <t>00 §5</t>
        </is>
      </c>
    </row>
    <row r="185">
      <c r="A185" s="3" t="inlineStr">
        <is>
          <t>CO2-004</t>
        </is>
      </c>
      <c r="B185" s="4" t="inlineStr">
        <is>
          <t>Shared</t>
        </is>
      </c>
      <c r="C185" s="4" t="inlineStr">
        <is>
          <t>Ventilation</t>
        </is>
      </c>
      <c r="D185" s="4" t="inlineStr">
        <is>
          <t>CO₂ mass generation, 4 occupants</t>
        </is>
      </c>
      <c r="E185" s="4" t="inlineStr">
        <is>
          <t>ṁ_CO2</t>
        </is>
      </c>
      <c r="F185" s="17" t="n">
        <v>3.4</v>
      </c>
      <c r="G185" s="17" t="n"/>
      <c r="H185" s="17" t="n"/>
      <c r="I185" s="4" t="inlineStr">
        <is>
          <t>kg/day</t>
        </is>
      </c>
      <c r="J185" s="4" t="inlineStr">
        <is>
          <t>reference</t>
        </is>
      </c>
      <c r="K185" s="4" t="inlineStr"/>
      <c r="L185" s="4" t="inlineStr"/>
      <c r="M185" s="4" t="inlineStr">
        <is>
          <t>00 §5</t>
        </is>
      </c>
    </row>
    <row r="186">
      <c r="A186" s="3" t="inlineStr">
        <is>
          <t>CO2-005</t>
        </is>
      </c>
      <c r="B186" s="4" t="inlineStr">
        <is>
          <t>Shared</t>
        </is>
      </c>
      <c r="C186" s="4" t="inlineStr">
        <is>
          <t>Ventilation</t>
        </is>
      </c>
      <c r="D186" s="4" t="inlineStr">
        <is>
          <t>Fresh-air floor</t>
        </is>
      </c>
      <c r="E186" s="4" t="inlineStr">
        <is>
          <t>V̇_f</t>
        </is>
      </c>
      <c r="F186" s="17" t="n">
        <v>48</v>
      </c>
      <c r="G186" s="17" t="n"/>
      <c r="H186" s="17" t="n"/>
      <c r="I186" s="4" t="inlineStr">
        <is>
          <t>m³/h</t>
        </is>
      </c>
      <c r="J186" s="4" t="inlineStr">
        <is>
          <t>requirement</t>
        </is>
      </c>
      <c r="K186" s="4" t="inlineStr"/>
      <c r="L186" s="4" t="inlineStr">
        <is>
          <t>12 m³/h·person; mechanical minimum stop on the damper</t>
        </is>
      </c>
      <c r="M186" s="4" t="inlineStr">
        <is>
          <t>00 §5</t>
        </is>
      </c>
    </row>
    <row r="187">
      <c r="A187" s="3" t="inlineStr">
        <is>
          <t>CO2-006</t>
        </is>
      </c>
      <c r="B187" s="4" t="inlineStr">
        <is>
          <t>Shared</t>
        </is>
      </c>
      <c r="C187" s="4" t="inlineStr">
        <is>
          <t>Ventilation</t>
        </is>
      </c>
      <c r="D187" s="4" t="inlineStr">
        <is>
          <t>Steady CO₂ at 48 m³/h (awake)</t>
        </is>
      </c>
      <c r="E187" s="4" t="inlineStr">
        <is>
          <t>c_CO2</t>
        </is>
      </c>
      <c r="F187" s="17" t="n">
        <v>1920</v>
      </c>
      <c r="G187" s="17" t="n"/>
      <c r="H187" s="17" t="n"/>
      <c r="I187" s="4" t="inlineStr">
        <is>
          <t>ppm</t>
        </is>
      </c>
      <c r="J187" s="4" t="inlineStr">
        <is>
          <t>sizing-grade</t>
        </is>
      </c>
      <c r="K187" s="4" t="inlineStr"/>
      <c r="L187" s="4" t="inlineStr">
        <is>
          <t>ABOVE the &lt;1,000 spec — closed by the layer stack, not by ventilation</t>
        </is>
      </c>
      <c r="M187" s="4" t="inlineStr">
        <is>
          <t>00 §5</t>
        </is>
      </c>
    </row>
    <row r="188">
      <c r="A188" s="3" t="inlineStr">
        <is>
          <t>CO2-007</t>
        </is>
      </c>
      <c r="B188" s="4" t="inlineStr">
        <is>
          <t>Shared</t>
        </is>
      </c>
      <c r="C188" s="4" t="inlineStr">
        <is>
          <t>Ventilation</t>
        </is>
      </c>
      <c r="D188" s="4" t="inlineStr">
        <is>
          <t>Steady CO₂ at 48 m³/h (asleep)</t>
        </is>
      </c>
      <c r="E188" s="4" t="inlineStr">
        <is>
          <t>c_CO2</t>
        </is>
      </c>
      <c r="F188" s="17" t="n">
        <v>1400</v>
      </c>
      <c r="G188" s="17" t="n"/>
      <c r="H188" s="17" t="n"/>
      <c r="I188" s="4" t="inlineStr">
        <is>
          <t>ppm</t>
        </is>
      </c>
      <c r="J188" s="4" t="inlineStr">
        <is>
          <t>sizing-grade</t>
        </is>
      </c>
      <c r="K188" s="4" t="inlineStr"/>
      <c r="L188" s="4" t="inlineStr"/>
      <c r="M188" s="4" t="inlineStr">
        <is>
          <t>12 §1</t>
        </is>
      </c>
    </row>
    <row r="189">
      <c r="A189" s="3" t="inlineStr">
        <is>
          <t>CO2-008</t>
        </is>
      </c>
      <c r="B189" s="4" t="inlineStr">
        <is>
          <t>Shared</t>
        </is>
      </c>
      <c r="C189" s="4" t="inlineStr">
        <is>
          <t>Ventilation</t>
        </is>
      </c>
      <c r="D189" s="4" t="inlineStr">
        <is>
          <t>Steady CO₂ at 36 m³/h</t>
        </is>
      </c>
      <c r="E189" s="4" t="inlineStr">
        <is>
          <t>c_CO2</t>
        </is>
      </c>
      <c r="F189" s="17" t="n">
        <v>2420</v>
      </c>
      <c r="G189" s="17" t="n"/>
      <c r="H189" s="17" t="n"/>
      <c r="I189" s="4" t="inlineStr">
        <is>
          <t>ppm</t>
        </is>
      </c>
      <c r="J189" s="4" t="inlineStr">
        <is>
          <t>sizing-grade</t>
        </is>
      </c>
      <c r="K189" s="4" t="inlineStr"/>
      <c r="L189" s="4" t="inlineStr">
        <is>
          <t>Dose–response ladder — why the interlock exists</t>
        </is>
      </c>
      <c r="M189" s="4" t="inlineStr">
        <is>
          <t>00 §5</t>
        </is>
      </c>
    </row>
    <row r="190">
      <c r="A190" s="3" t="inlineStr">
        <is>
          <t>CO2-009</t>
        </is>
      </c>
      <c r="B190" s="4" t="inlineStr">
        <is>
          <t>Shared</t>
        </is>
      </c>
      <c r="C190" s="4" t="inlineStr">
        <is>
          <t>Ventilation</t>
        </is>
      </c>
      <c r="D190" s="4" t="inlineStr">
        <is>
          <t>Steady CO₂ at 24 m³/h</t>
        </is>
      </c>
      <c r="E190" s="4" t="inlineStr">
        <is>
          <t>c_CO2</t>
        </is>
      </c>
      <c r="F190" s="17" t="n">
        <v>3420</v>
      </c>
      <c r="G190" s="17" t="n"/>
      <c r="H190" s="17" t="n"/>
      <c r="I190" s="4" t="inlineStr">
        <is>
          <t>ppm</t>
        </is>
      </c>
      <c r="J190" s="4" t="inlineStr">
        <is>
          <t>sizing-grade</t>
        </is>
      </c>
      <c r="K190" s="4" t="inlineStr"/>
      <c r="L190" s="4" t="inlineStr"/>
      <c r="M190" s="4" t="inlineStr">
        <is>
          <t>00 §5</t>
        </is>
      </c>
    </row>
    <row r="191">
      <c r="A191" s="3" t="inlineStr">
        <is>
          <t>CO2-010</t>
        </is>
      </c>
      <c r="B191" s="4" t="inlineStr">
        <is>
          <t>Shared</t>
        </is>
      </c>
      <c r="C191" s="4" t="inlineStr">
        <is>
          <t>Ventilation</t>
        </is>
      </c>
      <c r="D191" s="4" t="inlineStr">
        <is>
          <t>Steady CO₂ at 12 m³/h</t>
        </is>
      </c>
      <c r="E191" s="4" t="inlineStr">
        <is>
          <t>c_CO2</t>
        </is>
      </c>
      <c r="F191" s="17" t="n">
        <v>6420</v>
      </c>
      <c r="G191" s="17" t="n"/>
      <c r="H191" s="17" t="n"/>
      <c r="I191" s="4" t="inlineStr">
        <is>
          <t>ppm</t>
        </is>
      </c>
      <c r="J191" s="4" t="inlineStr">
        <is>
          <t>sizing-grade</t>
        </is>
      </c>
      <c r="K191" s="4" t="inlineStr"/>
      <c r="L191" s="4" t="inlineStr"/>
      <c r="M191" s="4" t="inlineStr">
        <is>
          <t>00 §5</t>
        </is>
      </c>
    </row>
    <row r="192">
      <c r="A192" s="3" t="inlineStr">
        <is>
          <t>CO2-011</t>
        </is>
      </c>
      <c r="B192" s="4" t="inlineStr">
        <is>
          <t>Shared</t>
        </is>
      </c>
      <c r="C192" s="4" t="inlineStr">
        <is>
          <t>Ventilation</t>
        </is>
      </c>
      <c r="D192" s="4" t="inlineStr">
        <is>
          <t>Sealed envelope (infiltration only)</t>
        </is>
      </c>
      <c r="E192" s="4" t="inlineStr">
        <is>
          <t>c_CO2</t>
        </is>
      </c>
      <c r="F192" s="17" t="n">
        <v>7600</v>
      </c>
      <c r="G192" s="17" t="n"/>
      <c r="H192" s="17" t="n"/>
      <c r="I192" s="4" t="inlineStr">
        <is>
          <t>ppm</t>
        </is>
      </c>
      <c r="J192" s="4" t="inlineStr">
        <is>
          <t>sizing-grade</t>
        </is>
      </c>
      <c r="K192" s="4" t="inlineStr"/>
      <c r="L192" s="4" t="inlineStr"/>
      <c r="M192" s="4" t="inlineStr">
        <is>
          <t>00 §5</t>
        </is>
      </c>
    </row>
    <row r="193">
      <c r="A193" s="3" t="inlineStr">
        <is>
          <t>CO2-012</t>
        </is>
      </c>
      <c r="B193" s="4" t="inlineStr">
        <is>
          <t>Shared</t>
        </is>
      </c>
      <c r="C193" s="4" t="inlineStr">
        <is>
          <t>Ventilation</t>
        </is>
      </c>
      <c r="D193" s="4" t="inlineStr">
        <is>
          <t>Closed-room penalty over main space</t>
        </is>
      </c>
      <c r="E193" s="4" t="inlineStr">
        <is>
          <t>Δc</t>
        </is>
      </c>
      <c r="F193" s="17" t="n"/>
      <c r="G193" s="17" t="n">
        <v>2000</v>
      </c>
      <c r="H193" s="17" t="n">
        <v>2900</v>
      </c>
      <c r="I193" s="4" t="inlineStr">
        <is>
          <t>ppm</t>
        </is>
      </c>
      <c r="J193" s="4" t="inlineStr">
        <is>
          <t>sizing-grade</t>
        </is>
      </c>
      <c r="K193" s="4" t="inlineStr"/>
      <c r="L193" s="4" t="inlineStr">
        <is>
          <t>Drives displacement ducting + per-room NDIR sensing</t>
        </is>
      </c>
      <c r="M193" s="4" t="inlineStr">
        <is>
          <t>00 §5</t>
        </is>
      </c>
    </row>
    <row r="194">
      <c r="A194" s="3" t="inlineStr">
        <is>
          <t>CO2-013</t>
        </is>
      </c>
      <c r="B194" s="4" t="inlineStr">
        <is>
          <t>Shared</t>
        </is>
      </c>
      <c r="C194" s="4" t="inlineStr">
        <is>
          <t>Ventilation</t>
        </is>
      </c>
      <c r="D194" s="4" t="inlineStr">
        <is>
          <t>Marginal heat cost of fresh air (ε 0.8)</t>
        </is>
      </c>
      <c r="E194" s="4" t="inlineStr">
        <is>
          <t>e</t>
        </is>
      </c>
      <c r="F194" s="17" t="n">
        <v>0.06</v>
      </c>
      <c r="G194" s="17" t="n"/>
      <c r="H194" s="17" t="n"/>
      <c r="I194" s="4" t="inlineStr">
        <is>
          <t>kWh/day per m³/h</t>
        </is>
      </c>
      <c r="J194" s="4" t="inlineStr">
        <is>
          <t>sizing-grade</t>
        </is>
      </c>
      <c r="K194" s="4" t="inlineStr">
        <is>
          <t>E</t>
        </is>
      </c>
      <c r="L194" s="4" t="inlineStr">
        <is>
          <t>(1−ε)×10.4 g/kg — makes generous ventilation cheap (X7)</t>
        </is>
      </c>
      <c r="M194" s="4" t="inlineStr">
        <is>
          <t>00 §5</t>
        </is>
      </c>
    </row>
    <row r="195">
      <c r="A195" s="3" t="inlineStr">
        <is>
          <t>CO2-014</t>
        </is>
      </c>
      <c r="B195" s="4" t="inlineStr">
        <is>
          <t>Shared</t>
        </is>
      </c>
      <c r="C195" s="4" t="inlineStr">
        <is>
          <t>Ventilation</t>
        </is>
      </c>
      <c r="D195" s="4" t="inlineStr">
        <is>
          <t>Heat saved per 12 m³/h cut (bare fresh)</t>
        </is>
      </c>
      <c r="E195" s="4" t="inlineStr">
        <is>
          <t>E</t>
        </is>
      </c>
      <c r="F195" s="17" t="n">
        <v>3.8</v>
      </c>
      <c r="G195" s="17" t="n"/>
      <c r="H195" s="17" t="n"/>
      <c r="I195" s="4" t="inlineStr">
        <is>
          <t>kWh/day</t>
        </is>
      </c>
      <c r="J195" s="4" t="inlineStr">
        <is>
          <t>sizing-grade</t>
        </is>
      </c>
      <c r="K195" s="4" t="inlineStr"/>
      <c r="L195" s="4" t="inlineStr">
        <is>
          <t>The standing economic temptation the interlock forecloses</t>
        </is>
      </c>
      <c r="M195" s="4" t="inlineStr">
        <is>
          <t>00 §5</t>
        </is>
      </c>
    </row>
    <row r="196">
      <c r="A196" s="3" t="inlineStr">
        <is>
          <t>CO2-015</t>
        </is>
      </c>
      <c r="B196" s="4" t="inlineStr">
        <is>
          <t>Shared</t>
        </is>
      </c>
      <c r="C196" s="4" t="inlineStr">
        <is>
          <t>CO₂ battery</t>
        </is>
      </c>
      <c r="D196" s="4" t="inlineStr">
        <is>
          <t>Scrubbing duty at the ventilation floor</t>
        </is>
      </c>
      <c r="E196" s="4" t="inlineStr">
        <is>
          <t>ṁ_CO2</t>
        </is>
      </c>
      <c r="F196" s="17" t="n">
        <v>1.6</v>
      </c>
      <c r="G196" s="17" t="n"/>
      <c r="H196" s="17" t="n"/>
      <c r="I196" s="4" t="inlineStr">
        <is>
          <t>kg/day</t>
        </is>
      </c>
      <c r="J196" s="4" t="inlineStr">
        <is>
          <t>PENDING J</t>
        </is>
      </c>
      <c r="K196" s="4" t="inlineStr">
        <is>
          <t>J</t>
        </is>
      </c>
      <c r="L196" s="4" t="inlineStr">
        <is>
          <t>Two-bed solid-amine TSA in the recirculation branch</t>
        </is>
      </c>
      <c r="M196" s="4" t="inlineStr">
        <is>
          <t>00 §5</t>
        </is>
      </c>
    </row>
    <row r="197">
      <c r="A197" s="3" t="inlineStr">
        <is>
          <t>CO2-016</t>
        </is>
      </c>
      <c r="B197" s="4" t="inlineStr">
        <is>
          <t>Shared</t>
        </is>
      </c>
      <c r="C197" s="4" t="inlineStr">
        <is>
          <t>CO₂ battery</t>
        </is>
      </c>
      <c r="D197" s="4" t="inlineStr">
        <is>
          <t>Bed mass, amine (each of two)</t>
        </is>
      </c>
      <c r="E197" s="4" t="inlineStr">
        <is>
          <t>m_b</t>
        </is>
      </c>
      <c r="F197" s="17" t="n">
        <v>3</v>
      </c>
      <c r="G197" s="17" t="n"/>
      <c r="H197" s="17" t="n"/>
      <c r="I197" s="4" t="inlineStr">
        <is>
          <t>kg</t>
        </is>
      </c>
      <c r="J197" s="4" t="inlineStr">
        <is>
          <t>PENDING J</t>
        </is>
      </c>
      <c r="K197" s="4" t="inlineStr">
        <is>
          <t>J</t>
        </is>
      </c>
      <c r="L197" s="4" t="inlineStr">
        <is>
          <t>~90-min half-cycles</t>
        </is>
      </c>
      <c r="M197" s="4" t="inlineStr">
        <is>
          <t>00 §5</t>
        </is>
      </c>
    </row>
    <row r="198">
      <c r="A198" s="3" t="inlineStr">
        <is>
          <t>CO2-017</t>
        </is>
      </c>
      <c r="B198" s="4" t="inlineStr">
        <is>
          <t>Shared</t>
        </is>
      </c>
      <c r="C198" s="4" t="inlineStr">
        <is>
          <t>CO₂ battery</t>
        </is>
      </c>
      <c r="D198" s="4" t="inlineStr">
        <is>
          <t>Recirculation flow through the bed</t>
        </is>
      </c>
      <c r="E198" s="4" t="inlineStr">
        <is>
          <t>V̇</t>
        </is>
      </c>
      <c r="F198" s="17" t="n">
        <v>91</v>
      </c>
      <c r="G198" s="17" t="n"/>
      <c r="H198" s="17" t="n"/>
      <c r="I198" s="4" t="inlineStr">
        <is>
          <t>m³/h</t>
        </is>
      </c>
      <c r="J198" s="4" t="inlineStr">
        <is>
          <t>PENDING J</t>
        </is>
      </c>
      <c r="K198" s="4" t="inlineStr">
        <is>
          <t>J</t>
        </is>
      </c>
      <c r="L198" s="4" t="inlineStr">
        <is>
          <t>At 50% single-pass capture; +50–150 Pa</t>
        </is>
      </c>
      <c r="M198" s="4" t="inlineStr">
        <is>
          <t>00 §5</t>
        </is>
      </c>
    </row>
    <row r="199">
      <c r="A199" s="3" t="inlineStr">
        <is>
          <t>CO2-018</t>
        </is>
      </c>
      <c r="B199" s="4" t="inlineStr">
        <is>
          <t>Shared</t>
        </is>
      </c>
      <c r="C199" s="4" t="inlineStr">
        <is>
          <t>CO₂ battery</t>
        </is>
      </c>
      <c r="D199" s="4" t="inlineStr">
        <is>
          <t>Amine regeneration temperature</t>
        </is>
      </c>
      <c r="E199" s="4" t="inlineStr">
        <is>
          <t>T_reg</t>
        </is>
      </c>
      <c r="F199" s="17" t="n"/>
      <c r="G199" s="17" t="n">
        <v>85</v>
      </c>
      <c r="H199" s="17" t="n">
        <v>95</v>
      </c>
      <c r="I199" s="4" t="inlineStr">
        <is>
          <t>°C</t>
        </is>
      </c>
      <c r="J199" s="4" t="inlineStr">
        <is>
          <t>PENDING J</t>
        </is>
      </c>
      <c r="K199" s="4" t="inlineStr">
        <is>
          <t>J</t>
        </is>
      </c>
      <c r="L199" s="4" t="inlineStr">
        <is>
          <t>Off the same heat bus; solar-window schedulable</t>
        </is>
      </c>
      <c r="M199" s="4" t="inlineStr">
        <is>
          <t>00 §5</t>
        </is>
      </c>
    </row>
    <row r="200">
      <c r="A200" s="3" t="inlineStr">
        <is>
          <t>CO2-019</t>
        </is>
      </c>
      <c r="B200" s="4" t="inlineStr">
        <is>
          <t>Shared</t>
        </is>
      </c>
      <c r="C200" s="4" t="inlineStr">
        <is>
          <t>CO₂ battery</t>
        </is>
      </c>
      <c r="D200" s="4" t="inlineStr">
        <is>
          <t>Specific regeneration energy</t>
        </is>
      </c>
      <c r="E200" s="4" t="inlineStr">
        <is>
          <t>e</t>
        </is>
      </c>
      <c r="F200" s="17" t="n"/>
      <c r="G200" s="17" t="n">
        <v>1</v>
      </c>
      <c r="H200" s="17" t="n">
        <v>1.3</v>
      </c>
      <c r="I200" s="4" t="inlineStr">
        <is>
          <t>kWh/kg</t>
        </is>
      </c>
      <c r="J200" s="4" t="inlineStr">
        <is>
          <t>PENDING J</t>
        </is>
      </c>
      <c r="K200" s="4" t="inlineStr">
        <is>
          <t>J</t>
        </is>
      </c>
      <c r="L200" s="4" t="inlineStr">
        <is>
          <t>Includes water co-adsorption + sensible</t>
        </is>
      </c>
      <c r="M200" s="4" t="inlineStr">
        <is>
          <t>12 §1</t>
        </is>
      </c>
    </row>
    <row r="201">
      <c r="A201" s="3" t="inlineStr">
        <is>
          <t>CO2-020</t>
        </is>
      </c>
      <c r="B201" s="4" t="inlineStr">
        <is>
          <t>Shared</t>
        </is>
      </c>
      <c r="C201" s="4" t="inlineStr">
        <is>
          <t>CO₂ battery</t>
        </is>
      </c>
      <c r="D201" s="4" t="inlineStr">
        <is>
          <t>Daily regeneration heat</t>
        </is>
      </c>
      <c r="E201" s="4" t="inlineStr">
        <is>
          <t>E</t>
        </is>
      </c>
      <c r="F201" s="17" t="n"/>
      <c r="G201" s="17" t="n">
        <v>1.6</v>
      </c>
      <c r="H201" s="17" t="n">
        <v>2.5</v>
      </c>
      <c r="I201" s="4" t="inlineStr">
        <is>
          <t>kWh/day</t>
        </is>
      </c>
      <c r="J201" s="4" t="inlineStr">
        <is>
          <t>PENDING J</t>
        </is>
      </c>
      <c r="K201" s="4" t="inlineStr">
        <is>
          <t>J</t>
        </is>
      </c>
      <c r="L201" s="4" t="inlineStr"/>
      <c r="M201" s="4" t="inlineStr">
        <is>
          <t>12 §1</t>
        </is>
      </c>
    </row>
    <row r="202">
      <c r="A202" s="3" t="inlineStr">
        <is>
          <t>CO2-021</t>
        </is>
      </c>
      <c r="B202" s="4" t="inlineStr">
        <is>
          <t>Shared</t>
        </is>
      </c>
      <c r="C202" s="4" t="inlineStr">
        <is>
          <t>CO₂ battery</t>
        </is>
      </c>
      <c r="D202" s="4" t="inlineStr">
        <is>
          <t>Overnight stored obligation</t>
        </is>
      </c>
      <c r="E202" s="4" t="inlineStr">
        <is>
          <t>m</t>
        </is>
      </c>
      <c r="F202" s="17" t="n">
        <v>0.3</v>
      </c>
      <c r="G202" s="17" t="n"/>
      <c r="H202" s="17" t="n"/>
      <c r="I202" s="4" t="inlineStr">
        <is>
          <t>kg</t>
        </is>
      </c>
      <c r="J202" s="4" t="inlineStr">
        <is>
          <t>sizing-grade</t>
        </is>
      </c>
      <c r="K202" s="4" t="inlineStr">
        <is>
          <t>J</t>
        </is>
      </c>
      <c r="L202" s="4" t="inlineStr">
        <is>
          <t>Loaded beds hold the night → regeneration is schedulable</t>
        </is>
      </c>
      <c r="M202" s="4" t="inlineStr">
        <is>
          <t>00 §5</t>
        </is>
      </c>
    </row>
    <row r="203">
      <c r="A203" s="3" t="inlineStr">
        <is>
          <t>CO2-022</t>
        </is>
      </c>
      <c r="B203" s="4" t="inlineStr">
        <is>
          <t>Shared</t>
        </is>
      </c>
      <c r="C203" s="4" t="inlineStr">
        <is>
          <t>CO₂ battery</t>
        </is>
      </c>
      <c r="D203" s="4" t="inlineStr">
        <is>
          <t>Optimal bed placement humidity</t>
        </is>
      </c>
      <c r="E203" s="4" t="inlineStr">
        <is>
          <t>RH</t>
        </is>
      </c>
      <c r="F203" s="17" t="n"/>
      <c r="G203" s="17" t="n">
        <v>45</v>
      </c>
      <c r="H203" s="17" t="n">
        <v>55</v>
      </c>
      <c r="I203" s="4" t="inlineStr">
        <is>
          <t>%</t>
        </is>
      </c>
      <c r="J203" s="4" t="inlineStr">
        <is>
          <t>procurement-grade</t>
        </is>
      </c>
      <c r="K203" s="4" t="inlineStr">
        <is>
          <t>J</t>
        </is>
      </c>
      <c r="L203" s="4" t="inlineStr">
        <is>
          <t>Post-dehumidification; near-optimal for amine chemistry</t>
        </is>
      </c>
      <c r="M203" s="4" t="inlineStr">
        <is>
          <t>00 §5</t>
        </is>
      </c>
    </row>
    <row r="204">
      <c r="A204" s="3" t="inlineStr">
        <is>
          <t>CO2-023</t>
        </is>
      </c>
      <c r="B204" s="4" t="inlineStr">
        <is>
          <t>Shared</t>
        </is>
      </c>
      <c r="C204" s="4" t="inlineStr">
        <is>
          <t>CO₂ battery</t>
        </is>
      </c>
      <c r="D204" s="4" t="inlineStr">
        <is>
          <t>Potash (K₂CO₃/carbon) bed mass</t>
        </is>
      </c>
      <c r="E204" s="4" t="inlineStr">
        <is>
          <t>m_b</t>
        </is>
      </c>
      <c r="F204" s="17" t="n"/>
      <c r="G204" s="17" t="n">
        <v>4</v>
      </c>
      <c r="H204" s="17" t="n">
        <v>5</v>
      </c>
      <c r="I204" s="4" t="inlineStr">
        <is>
          <t>kg</t>
        </is>
      </c>
      <c r="J204" s="4" t="inlineStr">
        <is>
          <t>PENDING J-K</t>
        </is>
      </c>
      <c r="K204" s="4" t="inlineStr">
        <is>
          <t>J-K</t>
        </is>
      </c>
      <c r="L204" s="4" t="inlineStr">
        <is>
          <t>At ~0.5–0.65 mmol/g working capacity</t>
        </is>
      </c>
      <c r="M204" s="4" t="inlineStr">
        <is>
          <t>00 §5</t>
        </is>
      </c>
    </row>
    <row r="205">
      <c r="A205" s="3" t="inlineStr">
        <is>
          <t>CO2-024</t>
        </is>
      </c>
      <c r="B205" s="4" t="inlineStr">
        <is>
          <t>Shared</t>
        </is>
      </c>
      <c r="C205" s="4" t="inlineStr">
        <is>
          <t>CO₂ battery</t>
        </is>
      </c>
      <c r="D205" s="4" t="inlineStr">
        <is>
          <t>Potash regeneration temperature</t>
        </is>
      </c>
      <c r="E205" s="4" t="inlineStr">
        <is>
          <t>T_reg</t>
        </is>
      </c>
      <c r="F205" s="17" t="n"/>
      <c r="G205" s="17" t="n">
        <v>130</v>
      </c>
      <c r="H205" s="17" t="n">
        <v>150</v>
      </c>
      <c r="I205" s="4" t="inlineStr">
        <is>
          <t>°C</t>
        </is>
      </c>
      <c r="J205" s="4" t="inlineStr">
        <is>
          <t>PENDING J-K</t>
        </is>
      </c>
      <c r="K205" s="4" t="inlineStr">
        <is>
          <t>J-K</t>
        </is>
      </c>
      <c r="L205" s="4" t="inlineStr">
        <is>
          <t>Requires a ≥~130 °C tap; equilibrium-dead below ~120 °C (X11)</t>
        </is>
      </c>
      <c r="M205" s="4" t="inlineStr">
        <is>
          <t>00 §5</t>
        </is>
      </c>
    </row>
    <row r="206">
      <c r="A206" s="3" t="inlineStr">
        <is>
          <t>CO2-025</t>
        </is>
      </c>
      <c r="B206" s="4" t="inlineStr">
        <is>
          <t>Shared</t>
        </is>
      </c>
      <c r="C206" s="4" t="inlineStr">
        <is>
          <t>CO₂ battery</t>
        </is>
      </c>
      <c r="D206" s="4" t="inlineStr">
        <is>
          <t>Potash working capacity</t>
        </is>
      </c>
      <c r="E206" s="4" t="inlineStr">
        <is>
          <t>q</t>
        </is>
      </c>
      <c r="F206" s="17" t="n"/>
      <c r="G206" s="17" t="n">
        <v>0.5</v>
      </c>
      <c r="H206" s="17" t="n">
        <v>0.65</v>
      </c>
      <c r="I206" s="4" t="inlineStr">
        <is>
          <t>mmol/g</t>
        </is>
      </c>
      <c r="J206" s="4" t="inlineStr">
        <is>
          <t>PENDING J-K</t>
        </is>
      </c>
      <c r="K206" s="4" t="inlineStr">
        <is>
          <t>J-K</t>
        </is>
      </c>
      <c r="L206" s="4" t="inlineStr">
        <is>
          <t>Alumina and MgO supports prohibited — double-salt deactivation</t>
        </is>
      </c>
      <c r="M206" s="4" t="inlineStr">
        <is>
          <t>00 §5</t>
        </is>
      </c>
    </row>
    <row r="207">
      <c r="A207" s="3" t="inlineStr">
        <is>
          <t>CO2-026</t>
        </is>
      </c>
      <c r="B207" s="4" t="inlineStr">
        <is>
          <t>Shared</t>
        </is>
      </c>
      <c r="C207" s="4" t="inlineStr">
        <is>
          <t>Fallback</t>
        </is>
      </c>
      <c r="D207" s="4" t="inlineStr">
        <is>
          <t>Oversized ERV + DCV flow</t>
        </is>
      </c>
      <c r="E207" s="4" t="inlineStr">
        <is>
          <t>V̇_f</t>
        </is>
      </c>
      <c r="F207" s="17" t="n"/>
      <c r="G207" s="17" t="n">
        <v>120</v>
      </c>
      <c r="H207" s="17" t="n">
        <v>190</v>
      </c>
      <c r="I207" s="4" t="inlineStr">
        <is>
          <t>m³/h</t>
        </is>
      </c>
      <c r="J207" s="4" t="inlineStr">
        <is>
          <t>sizing-grade</t>
        </is>
      </c>
      <c r="K207" s="4" t="inlineStr">
        <is>
          <t>E</t>
        </is>
      </c>
      <c r="L207" s="4" t="inlineStr">
        <is>
          <t>→ 800–1,000 ppm, open conditions only, no sealed guarantee</t>
        </is>
      </c>
      <c r="M207" s="4" t="inlineStr">
        <is>
          <t>00 §5</t>
        </is>
      </c>
    </row>
    <row r="208">
      <c r="A208" s="3" t="inlineStr">
        <is>
          <t>CO2-027</t>
        </is>
      </c>
      <c r="B208" s="4" t="inlineStr">
        <is>
          <t>Shared</t>
        </is>
      </c>
      <c r="C208" s="4" t="inlineStr">
        <is>
          <t>X9 galley</t>
        </is>
      </c>
      <c r="D208" s="4" t="inlineStr">
        <is>
          <t>Burner CO₂ emission, 2 kW</t>
        </is>
      </c>
      <c r="E208" s="4" t="inlineStr">
        <is>
          <t>V̇_CO2</t>
        </is>
      </c>
      <c r="F208" s="17" t="n">
        <v>0.26</v>
      </c>
      <c r="G208" s="17" t="n"/>
      <c r="H208" s="17" t="n"/>
      <c r="I208" s="4" t="inlineStr">
        <is>
          <t>m³/h</t>
        </is>
      </c>
      <c r="J208" s="4" t="inlineStr">
        <is>
          <t>reference</t>
        </is>
      </c>
      <c r="K208" s="4" t="inlineStr"/>
      <c r="L208" s="4" t="inlineStr">
        <is>
          <t>3.6× the whole crew — the reason for no combustion in the envelope</t>
        </is>
      </c>
      <c r="M208" s="4" t="inlineStr">
        <is>
          <t>00 §5</t>
        </is>
      </c>
    </row>
    <row r="209">
      <c r="A209" s="3" t="inlineStr">
        <is>
          <t>CO2-028</t>
        </is>
      </c>
      <c r="B209" s="4" t="inlineStr">
        <is>
          <t>Shared</t>
        </is>
      </c>
      <c r="C209" s="4" t="inlineStr">
        <is>
          <t>X9 galley</t>
        </is>
      </c>
      <c r="D209" s="4" t="inlineStr">
        <is>
          <t>Burner combustion water</t>
        </is>
      </c>
      <c r="E209" s="4" t="inlineStr">
        <is>
          <t>ṁ_w</t>
        </is>
      </c>
      <c r="F209" s="17" t="n">
        <v>0.25</v>
      </c>
      <c r="G209" s="17" t="n"/>
      <c r="H209" s="17" t="n"/>
      <c r="I209" s="4" t="inlineStr">
        <is>
          <t>kg/h</t>
        </is>
      </c>
      <c r="J209" s="4" t="inlineStr">
        <is>
          <t>reference</t>
        </is>
      </c>
      <c r="K209" s="4" t="inlineStr"/>
      <c r="L209" s="4" t="inlineStr">
        <is>
          <t>Latent load added on top of the CO₂</t>
        </is>
      </c>
      <c r="M209" s="4" t="inlineStr">
        <is>
          <t>00 §5</t>
        </is>
      </c>
    </row>
    <row r="210">
      <c r="A210" s="3" t="inlineStr">
        <is>
          <t>CO2-029</t>
        </is>
      </c>
      <c r="B210" s="4" t="inlineStr">
        <is>
          <t>Shared</t>
        </is>
      </c>
      <c r="C210" s="4" t="inlineStr">
        <is>
          <t>X9 galley</t>
        </is>
      </c>
      <c r="D210" s="4" t="inlineStr">
        <is>
          <t>Induction galley electrical</t>
        </is>
      </c>
      <c r="E210" s="4" t="inlineStr">
        <is>
          <t>E_e</t>
        </is>
      </c>
      <c r="F210" s="17" t="n">
        <v>2</v>
      </c>
      <c r="G210" s="17" t="n"/>
      <c r="H210" s="17" t="n"/>
      <c r="I210" s="4" t="inlineStr">
        <is>
          <t>kWh/day</t>
        </is>
      </c>
      <c r="J210" s="4" t="inlineStr">
        <is>
          <t>sizing-grade</t>
        </is>
      </c>
      <c r="K210" s="4" t="inlineStr"/>
      <c r="L210" s="4" t="inlineStr">
        <is>
          <t>Deletes both burner terms</t>
        </is>
      </c>
      <c r="M210" s="4" t="inlineStr">
        <is>
          <t>00 §5</t>
        </is>
      </c>
    </row>
    <row r="211">
      <c r="A211" s="3" t="inlineStr">
        <is>
          <t>CO2-030</t>
        </is>
      </c>
      <c r="B211" s="4" t="inlineStr">
        <is>
          <t>Shared</t>
        </is>
      </c>
      <c r="C211" s="4" t="inlineStr">
        <is>
          <t>Rejected</t>
        </is>
      </c>
      <c r="D211" s="4" t="inlineStr">
        <is>
          <t>Raw-water CO₂ absorption flow</t>
        </is>
      </c>
      <c r="E211" s="4" t="inlineStr">
        <is>
          <t>V̇</t>
        </is>
      </c>
      <c r="F211" s="17" t="n">
        <v>6</v>
      </c>
      <c r="G211" s="17" t="n"/>
      <c r="H211" s="17" t="n"/>
      <c r="I211" s="4" t="inlineStr">
        <is>
          <t>m³/h</t>
        </is>
      </c>
      <c r="J211" s="4" t="inlineStr">
        <is>
          <t>rejected</t>
        </is>
      </c>
      <c r="K211" s="4" t="inlineStr"/>
      <c r="L211" s="4" t="inlineStr">
        <is>
          <t>Fully equilibrated, slow kinetics, re-humidifies the air</t>
        </is>
      </c>
      <c r="M211" s="4" t="inlineStr">
        <is>
          <t>12 §5</t>
        </is>
      </c>
    </row>
    <row r="212">
      <c r="A212" s="3" t="inlineStr">
        <is>
          <t>CO2-031</t>
        </is>
      </c>
      <c r="B212" s="4" t="inlineStr">
        <is>
          <t>Shared</t>
        </is>
      </c>
      <c r="C212" s="4" t="inlineStr">
        <is>
          <t>Rejected</t>
        </is>
      </c>
      <c r="D212" s="4" t="inlineStr">
        <is>
          <t>Membrane driving pressure</t>
        </is>
      </c>
      <c r="E212" s="4" t="inlineStr">
        <is>
          <t>ΔP</t>
        </is>
      </c>
      <c r="F212" s="17" t="n">
        <v>0.1</v>
      </c>
      <c r="G212" s="17" t="n"/>
      <c r="H212" s="17" t="n"/>
      <c r="I212" s="4" t="inlineStr">
        <is>
          <t>kPa</t>
        </is>
      </c>
      <c r="J212" s="4" t="inlineStr">
        <is>
          <t>rejected</t>
        </is>
      </c>
      <c r="K212" s="4" t="inlineStr"/>
      <c r="L212" s="4" t="inlineStr">
        <is>
          <t>Cabin-ppm partial pressure — no membrane process closes</t>
        </is>
      </c>
      <c r="M212" s="4" t="inlineStr">
        <is>
          <t>12 §5</t>
        </is>
      </c>
    </row>
    <row r="213">
      <c r="A213" s="3" t="inlineStr">
        <is>
          <t>CO2-032</t>
        </is>
      </c>
      <c r="B213" s="4" t="inlineStr">
        <is>
          <t>Shared</t>
        </is>
      </c>
      <c r="C213" s="4" t="inlineStr">
        <is>
          <t>Rejected</t>
        </is>
      </c>
      <c r="D213" s="4" t="inlineStr">
        <is>
          <t>Algae/plant light demand</t>
        </is>
      </c>
      <c r="E213" s="4" t="inlineStr">
        <is>
          <t>P</t>
        </is>
      </c>
      <c r="F213" s="17" t="n">
        <v>150</v>
      </c>
      <c r="G213" s="17" t="n"/>
      <c r="H213" s="17" t="n"/>
      <c r="I213" s="4" t="inlineStr">
        <is>
          <t>kWh/day</t>
        </is>
      </c>
      <c r="J213" s="4" t="inlineStr">
        <is>
          <t>rejected</t>
        </is>
      </c>
      <c r="K213" s="4" t="inlineStr"/>
      <c r="L213" s="4" t="inlineStr">
        <is>
          <t>For 3.4 kg/day</t>
        </is>
      </c>
      <c r="M213" s="4" t="inlineStr">
        <is>
          <t>12 §5</t>
        </is>
      </c>
    </row>
    <row r="214">
      <c r="A214" s="3" t="inlineStr">
        <is>
          <t>CO2-033</t>
        </is>
      </c>
      <c r="B214" s="4" t="inlineStr">
        <is>
          <t>Shared</t>
        </is>
      </c>
      <c r="C214" s="4" t="inlineStr">
        <is>
          <t>Rejected</t>
        </is>
      </c>
      <c r="D214" s="4" t="inlineStr">
        <is>
          <t>Soda lime / LiOH consumable rate</t>
        </is>
      </c>
      <c r="E214" s="4" t="inlineStr">
        <is>
          <t>ṁ</t>
        </is>
      </c>
      <c r="F214" s="17" t="n">
        <v>15</v>
      </c>
      <c r="G214" s="17" t="n"/>
      <c r="H214" s="17" t="n"/>
      <c r="I214" s="4" t="inlineStr">
        <is>
          <t>kg/day</t>
        </is>
      </c>
      <c r="J214" s="4" t="inlineStr">
        <is>
          <t>emergency only</t>
        </is>
      </c>
      <c r="K214" s="4" t="inlineStr"/>
      <c r="L214" s="4" t="inlineStr">
        <is>
          <t>Emergency consumable, never an architecture</t>
        </is>
      </c>
      <c r="M214" s="4" t="inlineStr">
        <is>
          <t>12 §5</t>
        </is>
      </c>
    </row>
    <row r="215">
      <c r="A215" s="3" t="inlineStr">
        <is>
          <t>CO2-034</t>
        </is>
      </c>
      <c r="B215" s="4" t="inlineStr">
        <is>
          <t>Shared</t>
        </is>
      </c>
      <c r="C215" s="4" t="inlineStr">
        <is>
          <t>Rejected</t>
        </is>
      </c>
      <c r="D215" s="4" t="inlineStr">
        <is>
          <t>Electrochemical capture (watch item)</t>
        </is>
      </c>
      <c r="E215" s="4" t="inlineStr">
        <is>
          <t>e</t>
        </is>
      </c>
      <c r="F215" s="17" t="n">
        <v>1</v>
      </c>
      <c r="G215" s="17" t="n"/>
      <c r="H215" s="17" t="n"/>
      <c r="I215" s="4" t="inlineStr">
        <is>
          <t>kWh_e/kg</t>
        </is>
      </c>
      <c r="J215" s="4" t="inlineStr">
        <is>
          <t>R&amp;D watch</t>
        </is>
      </c>
      <c r="K215" s="4" t="inlineStr"/>
      <c r="L215" s="4" t="inlineStr">
        <is>
          <t>In principle; not procurable at scale</t>
        </is>
      </c>
      <c r="M215" s="4" t="inlineStr">
        <is>
          <t>12 §5</t>
        </is>
      </c>
    </row>
    <row r="216">
      <c r="A216" s="3" t="inlineStr">
        <is>
          <t>CO2-035</t>
        </is>
      </c>
      <c r="B216" s="4" t="inlineStr">
        <is>
          <t>Shared</t>
        </is>
      </c>
      <c r="C216" s="4" t="inlineStr">
        <is>
          <t>Rejected</t>
        </is>
      </c>
      <c r="D216" s="4" t="inlineStr">
        <is>
          <t>CALF-20 capacity at cabin ppm</t>
        </is>
      </c>
      <c r="E216" s="4" t="inlineStr">
        <is>
          <t>q</t>
        </is>
      </c>
      <c r="F216" s="17" t="n"/>
      <c r="G216" s="17" t="n">
        <v>0.1</v>
      </c>
      <c r="H216" s="17" t="n">
        <v>0.17</v>
      </c>
      <c r="I216" s="4" t="inlineStr">
        <is>
          <t>mmol/g</t>
        </is>
      </c>
      <c r="J216" s="4" t="inlineStr">
        <is>
          <t>rejected</t>
        </is>
      </c>
      <c r="K216" s="4" t="inlineStr"/>
      <c r="L216" s="4" t="inlineStr">
        <is>
          <t>Selectivity ceiling ~40–47% RH straddles the bed placement</t>
        </is>
      </c>
      <c r="M216" s="4" t="inlineStr">
        <is>
          <t>12 §5</t>
        </is>
      </c>
    </row>
    <row r="217">
      <c r="A217" s="3" t="inlineStr">
        <is>
          <t>CO2-036</t>
        </is>
      </c>
      <c r="B217" s="4" t="inlineStr">
        <is>
          <t>Shared</t>
        </is>
      </c>
      <c r="C217" s="4" t="inlineStr">
        <is>
          <t>Rejected</t>
        </is>
      </c>
      <c r="D217" s="4" t="inlineStr">
        <is>
          <t>SIFSIX-class capacity / water co-adsorption</t>
        </is>
      </c>
      <c r="E217" s="4" t="inlineStr">
        <is>
          <t>q</t>
        </is>
      </c>
      <c r="F217" s="17" t="n">
        <v>1.25</v>
      </c>
      <c r="G217" s="17" t="n">
        <v>7.5</v>
      </c>
      <c r="H217" s="17" t="n">
        <v>10</v>
      </c>
      <c r="I217" s="4" t="inlineStr">
        <is>
          <t>mmol/g</t>
        </is>
      </c>
      <c r="J217" s="4" t="inlineStr">
        <is>
          <t>rejected</t>
        </is>
      </c>
      <c r="K217" s="4" t="inlineStr"/>
      <c r="L217" s="4" t="inlineStr">
        <is>
          <t>ppm-capable at ~1.2–1.3, but 7.5–10 mmol/g water rides every swing</t>
        </is>
      </c>
      <c r="M217" s="4" t="inlineStr">
        <is>
          <t>12 §5</t>
        </is>
      </c>
    </row>
    <row r="218">
      <c r="A218" s="3" t="inlineStr">
        <is>
          <t>CO2-037</t>
        </is>
      </c>
      <c r="B218" s="4" t="inlineStr">
        <is>
          <t>Shared</t>
        </is>
      </c>
      <c r="C218" s="4" t="inlineStr">
        <is>
          <t>Rejected</t>
        </is>
      </c>
      <c r="D218" s="4" t="inlineStr">
        <is>
          <t>Mg-MOF-74 humid capacity retention</t>
        </is>
      </c>
      <c r="E218" s="4" t="inlineStr">
        <is>
          <t>—</t>
        </is>
      </c>
      <c r="F218" s="17" t="n">
        <v>16</v>
      </c>
      <c r="G218" s="17" t="n"/>
      <c r="H218" s="17" t="n"/>
      <c r="I218" s="4" t="inlineStr">
        <is>
          <t>%</t>
        </is>
      </c>
      <c r="J218" s="4" t="inlineStr">
        <is>
          <t>rejected</t>
        </is>
      </c>
      <c r="K218" s="4" t="inlineStr"/>
      <c r="L218" s="4" t="inlineStr">
        <is>
          <t>Water poisons and hydrolyzes the open metal sites</t>
        </is>
      </c>
      <c r="M218" s="4" t="inlineStr">
        <is>
          <t>12 §5</t>
        </is>
      </c>
    </row>
    <row r="219">
      <c r="A219" s="3" t="inlineStr">
        <is>
          <t>CO2-038</t>
        </is>
      </c>
      <c r="B219" s="4" t="inlineStr">
        <is>
          <t>Shared</t>
        </is>
      </c>
      <c r="C219" s="4" t="inlineStr">
        <is>
          <t>Rejected</t>
        </is>
      </c>
      <c r="D219" s="4" t="inlineStr">
        <is>
          <t>Moisture-swing AER displaced heat</t>
        </is>
      </c>
      <c r="E219" s="4" t="inlineStr">
        <is>
          <t>E</t>
        </is>
      </c>
      <c r="F219" s="17" t="n"/>
      <c r="G219" s="17" t="n">
        <v>5</v>
      </c>
      <c r="H219" s="17" t="n">
        <v>15</v>
      </c>
      <c r="I219" s="4" t="inlineStr">
        <is>
          <t>kWh/day</t>
        </is>
      </c>
      <c r="J219" s="4" t="inlineStr">
        <is>
          <t>rejected</t>
        </is>
      </c>
      <c r="K219" s="4" t="inlineStr"/>
      <c r="L219" s="4" t="inlineStr">
        <is>
          <t>vs 1.6–2.5 for TSA — an X8 rule-1 violation at DP-A</t>
        </is>
      </c>
      <c r="M219" s="4" t="inlineStr">
        <is>
          <t>12 §5</t>
        </is>
      </c>
    </row>
    <row r="220">
      <c r="A220" s="3" t="inlineStr">
        <is>
          <t>IN-002</t>
        </is>
      </c>
      <c r="B220" s="4" t="inlineStr">
        <is>
          <t>Platform</t>
        </is>
      </c>
      <c r="C220" s="4" t="inlineStr">
        <is>
          <t>Heat cascade</t>
        </is>
      </c>
      <c r="D220" s="4" t="inlineStr">
        <is>
          <t>Two-stage HDH humidifier grade</t>
        </is>
      </c>
      <c r="E220" s="4" t="inlineStr">
        <is>
          <t>T</t>
        </is>
      </c>
      <c r="F220" s="17" t="n"/>
      <c r="G220" s="17" t="n">
        <v>75</v>
      </c>
      <c r="H220" s="17" t="n">
        <v>85</v>
      </c>
      <c r="I220" s="4" t="inlineStr">
        <is>
          <t>°C</t>
        </is>
      </c>
      <c r="J220" s="4" t="inlineStr">
        <is>
          <t>sizing-grade</t>
        </is>
      </c>
      <c r="K220" s="4" t="inlineStr"/>
      <c r="L220" s="4" t="inlineStr">
        <is>
          <t>Below the potash rung, above the amine rung</t>
        </is>
      </c>
      <c r="M220" s="4" t="inlineStr">
        <is>
          <t>30 §2</t>
        </is>
      </c>
    </row>
    <row r="221">
      <c r="A221" s="3" t="inlineStr">
        <is>
          <t>IN-003</t>
        </is>
      </c>
      <c r="B221" s="4" t="inlineStr">
        <is>
          <t>Platform</t>
        </is>
      </c>
      <c r="C221" s="4" t="inlineStr">
        <is>
          <t>Heat cascade</t>
        </is>
      </c>
      <c r="D221" s="4" t="inlineStr">
        <is>
          <t>HDH gained output ratio</t>
        </is>
      </c>
      <c r="E221" s="4" t="inlineStr">
        <is>
          <t>GOR</t>
        </is>
      </c>
      <c r="F221" s="17" t="n"/>
      <c r="G221" s="17" t="n">
        <v>2.2</v>
      </c>
      <c r="H221" s="17" t="n">
        <v>2.8</v>
      </c>
      <c r="I221" s="4" t="inlineStr">
        <is>
          <t>—</t>
        </is>
      </c>
      <c r="J221" s="4" t="inlineStr">
        <is>
          <t>sizing-grade</t>
        </is>
      </c>
      <c r="K221" s="4" t="inlineStr"/>
      <c r="L221" s="4" t="inlineStr">
        <is>
          <t>Warm sink pinches the cold end to ~34 °C — lab GOR-4+ does not transfer</t>
        </is>
      </c>
      <c r="M221" s="4" t="inlineStr">
        <is>
          <t>30 §3</t>
        </is>
      </c>
    </row>
    <row r="222">
      <c r="A222" s="3" t="inlineStr">
        <is>
          <t>IN-004</t>
        </is>
      </c>
      <c r="B222" s="4" t="inlineStr">
        <is>
          <t>Platform</t>
        </is>
      </c>
      <c r="C222" s="4" t="inlineStr">
        <is>
          <t>Heat cascade</t>
        </is>
      </c>
      <c r="D222" s="4" t="inlineStr">
        <is>
          <t>HDH yield per unit heat</t>
        </is>
      </c>
      <c r="E222" s="4" t="inlineStr">
        <is>
          <t>V̇</t>
        </is>
      </c>
      <c r="F222" s="17" t="n">
        <v>90</v>
      </c>
      <c r="G222" s="17" t="n"/>
      <c r="H222" s="17" t="n"/>
      <c r="I222" s="4" t="inlineStr">
        <is>
          <t>L/day·kW</t>
        </is>
      </c>
      <c r="J222" s="4" t="inlineStr">
        <is>
          <t>sizing-grade</t>
        </is>
      </c>
      <c r="K222" s="4" t="inlineStr"/>
      <c r="L222" s="4" t="inlineStr">
        <is>
          <t>Raw-water feed sites only; never pointed at cabin air</t>
        </is>
      </c>
      <c r="M222" s="4" t="inlineStr">
        <is>
          <t>30 §3</t>
        </is>
      </c>
    </row>
    <row r="223">
      <c r="A223" s="3" t="inlineStr">
        <is>
          <t>IN-005</t>
        </is>
      </c>
      <c r="B223" s="4" t="inlineStr">
        <is>
          <t>Platform</t>
        </is>
      </c>
      <c r="C223" s="4" t="inlineStr">
        <is>
          <t>Heat cascade</t>
        </is>
      </c>
      <c r="D223" s="4" t="inlineStr">
        <is>
          <t>HDH stranded humidity at pinch</t>
        </is>
      </c>
      <c r="E223" s="4" t="inlineStr">
        <is>
          <t>ω</t>
        </is>
      </c>
      <c r="F223" s="17" t="n">
        <v>35</v>
      </c>
      <c r="G223" s="17" t="n"/>
      <c r="H223" s="17" t="n"/>
      <c r="I223" s="4" t="inlineStr">
        <is>
          <t>g/kg</t>
        </is>
      </c>
      <c r="J223" s="4" t="inlineStr">
        <is>
          <t>sizing-grade</t>
        </is>
      </c>
      <c r="K223" s="4" t="inlineStr"/>
      <c r="L223" s="4" t="inlineStr">
        <is>
          <t>Desiccant polish stage recaptures +20–25% when heat is free</t>
        </is>
      </c>
      <c r="M223" s="4" t="inlineStr">
        <is>
          <t>30 §3</t>
        </is>
      </c>
    </row>
    <row r="224">
      <c r="A224" s="3" t="inlineStr">
        <is>
          <t>IN-006</t>
        </is>
      </c>
      <c r="B224" s="4" t="inlineStr">
        <is>
          <t>Platform</t>
        </is>
      </c>
      <c r="C224" s="4" t="inlineStr">
        <is>
          <t>Heat cascade</t>
        </is>
      </c>
      <c r="D224" s="4" t="inlineStr">
        <is>
          <t>Resistive-HDH energy penalty vs RO</t>
        </is>
      </c>
      <c r="E224" s="4" t="inlineStr">
        <is>
          <t>—</t>
        </is>
      </c>
      <c r="F224" s="17" t="n">
        <v>27</v>
      </c>
      <c r="G224" s="17" t="n"/>
      <c r="H224" s="17" t="n"/>
      <c r="I224" s="4" t="inlineStr">
        <is>
          <t>×</t>
        </is>
      </c>
      <c r="J224" s="4" t="inlineStr">
        <is>
          <t>reference</t>
        </is>
      </c>
      <c r="K224" s="4" t="inlineStr"/>
      <c r="L224" s="4" t="inlineStr">
        <is>
          <t>Clipped-solar dump load and last resort only</t>
        </is>
      </c>
      <c r="M224" s="4" t="inlineStr">
        <is>
          <t>30 §2</t>
        </is>
      </c>
    </row>
    <row r="225">
      <c r="A225" s="3" t="inlineStr">
        <is>
          <t>IN-007</t>
        </is>
      </c>
      <c r="B225" s="4" t="inlineStr">
        <is>
          <t>Platform</t>
        </is>
      </c>
      <c r="C225" s="4" t="inlineStr">
        <is>
          <t>Heat cascade</t>
        </is>
      </c>
      <c r="D225" s="4" t="inlineStr">
        <is>
          <t>Marine RO specific energy</t>
        </is>
      </c>
      <c r="E225" s="4" t="inlineStr">
        <is>
          <t>e</t>
        </is>
      </c>
      <c r="F225" s="17" t="n"/>
      <c r="G225" s="17" t="n">
        <v>4</v>
      </c>
      <c r="H225" s="17" t="n">
        <v>20</v>
      </c>
      <c r="I225" s="4" t="inlineStr">
        <is>
          <t>Wh/L</t>
        </is>
      </c>
      <c r="J225" s="4" t="inlineStr">
        <is>
          <t>reference</t>
        </is>
      </c>
      <c r="K225" s="4" t="inlineStr"/>
      <c r="L225" s="4" t="inlineStr">
        <is>
          <t>The honest benchmark for deliberately manufactured water</t>
        </is>
      </c>
      <c r="M225" s="4" t="inlineStr">
        <is>
          <t>20 §7</t>
        </is>
      </c>
    </row>
    <row r="226">
      <c r="A226" s="3" t="inlineStr">
        <is>
          <t>IN-008</t>
        </is>
      </c>
      <c r="B226" s="4" t="inlineStr">
        <is>
          <t>Platform</t>
        </is>
      </c>
      <c r="C226" s="4" t="inlineStr">
        <is>
          <t>Sources</t>
        </is>
      </c>
      <c r="D226" s="4" t="inlineStr">
        <is>
          <t>PVT thermal grade</t>
        </is>
      </c>
      <c r="E226" s="4" t="inlineStr">
        <is>
          <t>T</t>
        </is>
      </c>
      <c r="F226" s="17" t="n"/>
      <c r="G226" s="17" t="n">
        <v>45</v>
      </c>
      <c r="H226" s="17" t="n">
        <v>50</v>
      </c>
      <c r="I226" s="4" t="inlineStr">
        <is>
          <t>°C</t>
        </is>
      </c>
      <c r="J226" s="4" t="inlineStr">
        <is>
          <t>procurement-grade</t>
        </is>
      </c>
      <c r="K226" s="4" t="inlineStr"/>
      <c r="L226" s="4" t="inlineStr">
        <is>
          <t>Cannot reach HDH grade; F2-dead for direct solid-bed regen</t>
        </is>
      </c>
      <c r="M226" s="4" t="inlineStr">
        <is>
          <t>30 §2</t>
        </is>
      </c>
    </row>
    <row r="227">
      <c r="A227" s="3" t="inlineStr">
        <is>
          <t>IN-009</t>
        </is>
      </c>
      <c r="B227" s="4" t="inlineStr">
        <is>
          <t>Platform</t>
        </is>
      </c>
      <c r="C227" s="4" t="inlineStr">
        <is>
          <t>Sources</t>
        </is>
      </c>
      <c r="D227" s="4" t="inlineStr">
        <is>
          <t>PVT panel mass</t>
        </is>
      </c>
      <c r="E227" s="4" t="inlineStr">
        <is>
          <t>m</t>
        </is>
      </c>
      <c r="F227" s="17" t="n">
        <v>36</v>
      </c>
      <c r="G227" s="17" t="n"/>
      <c r="H227" s="17" t="n"/>
      <c r="I227" s="4" t="inlineStr">
        <is>
          <t>kg</t>
        </is>
      </c>
      <c r="J227" s="4" t="inlineStr">
        <is>
          <t>procurement-grade</t>
        </is>
      </c>
      <c r="K227" s="4" t="inlineStr"/>
      <c r="L227" s="4" t="inlineStr">
        <is>
          <t>Beyond two panels the marginal thermal output has no user</t>
        </is>
      </c>
      <c r="M227" s="4" t="inlineStr">
        <is>
          <t>30 §4</t>
        </is>
      </c>
    </row>
    <row r="228">
      <c r="A228" s="3" t="inlineStr">
        <is>
          <t>IN-010</t>
        </is>
      </c>
      <c r="B228" s="4" t="inlineStr">
        <is>
          <t>Platform</t>
        </is>
      </c>
      <c r="C228" s="4" t="inlineStr">
        <is>
          <t>Sources</t>
        </is>
      </c>
      <c r="D228" s="4" t="inlineStr">
        <is>
          <t>ETC collector band</t>
        </is>
      </c>
      <c r="E228" s="4" t="inlineStr">
        <is>
          <t>T</t>
        </is>
      </c>
      <c r="F228" s="17" t="n"/>
      <c r="G228" s="17" t="n">
        <v>60</v>
      </c>
      <c r="H228" s="17" t="n">
        <v>93</v>
      </c>
      <c r="I228" s="4" t="inlineStr">
        <is>
          <t>°C</t>
        </is>
      </c>
      <c r="J228" s="4" t="inlineStr">
        <is>
          <t>procurement-grade</t>
        </is>
      </c>
      <c r="K228" s="4" t="inlineStr"/>
      <c r="L228" s="4" t="inlineStr">
        <is>
          <t>The liquid track's full grade band (X2) — the solar comfort island</t>
        </is>
      </c>
      <c r="M228" s="4" t="inlineStr">
        <is>
          <t>30 §2</t>
        </is>
      </c>
    </row>
    <row r="229">
      <c r="A229" s="3" t="inlineStr">
        <is>
          <t>IN-011</t>
        </is>
      </c>
      <c r="B229" s="4" t="inlineStr">
        <is>
          <t>Platform</t>
        </is>
      </c>
      <c r="C229" s="4" t="inlineStr">
        <is>
          <t>Water ladder</t>
        </is>
      </c>
      <c r="D229" s="4" t="inlineStr">
        <is>
          <t>Solid-track condensate surplus</t>
        </is>
      </c>
      <c r="E229" s="4" t="inlineStr">
        <is>
          <t>V̇</t>
        </is>
      </c>
      <c r="F229" s="17" t="n"/>
      <c r="G229" s="17" t="n">
        <v>50</v>
      </c>
      <c r="H229" s="17" t="n">
        <v>70</v>
      </c>
      <c r="I229" s="4" t="inlineStr">
        <is>
          <t>L/day</t>
        </is>
      </c>
      <c r="J229" s="4" t="inlineStr">
        <is>
          <t>sizing-grade</t>
        </is>
      </c>
      <c r="K229" s="4" t="inlineStr">
        <is>
          <t>T2</t>
        </is>
      </c>
      <c r="L229" s="4" t="inlineStr">
        <is>
          <t>Independent of HDH hardware — a real redundancy path</t>
        </is>
      </c>
      <c r="M229" s="4" t="inlineStr">
        <is>
          <t>30 §5</t>
        </is>
      </c>
    </row>
    <row r="230">
      <c r="A230" s="3" t="inlineStr">
        <is>
          <t>IN-012</t>
        </is>
      </c>
      <c r="B230" s="4" t="inlineStr">
        <is>
          <t>Platform</t>
        </is>
      </c>
      <c r="C230" s="4" t="inlineStr">
        <is>
          <t>Water ladder</t>
        </is>
      </c>
      <c r="D230" s="4" t="inlineStr">
        <is>
          <t>Liquid-track still distillate</t>
        </is>
      </c>
      <c r="E230" s="4" t="inlineStr">
        <is>
          <t>V̇</t>
        </is>
      </c>
      <c r="F230" s="17" t="n"/>
      <c r="G230" s="17" t="n">
        <v>8</v>
      </c>
      <c r="H230" s="17" t="n">
        <v>18</v>
      </c>
      <c r="I230" s="4" t="inlineStr">
        <is>
          <t>L/day</t>
        </is>
      </c>
      <c r="J230" s="4" t="inlineStr">
        <is>
          <t>sizing-grade</t>
        </is>
      </c>
      <c r="K230" s="4" t="inlineStr">
        <is>
          <t>G</t>
        </is>
      </c>
      <c r="L230" s="4" t="inlineStr">
        <is>
          <t>The solar-independent path; also the M-cycle feed</t>
        </is>
      </c>
      <c r="M230" s="4" t="inlineStr">
        <is>
          <t>30 §5</t>
        </is>
      </c>
    </row>
    <row r="231">
      <c r="A231" s="3" t="inlineStr">
        <is>
          <t>IN-013</t>
        </is>
      </c>
      <c r="B231" s="4" t="inlineStr">
        <is>
          <t>Platform</t>
        </is>
      </c>
      <c r="C231" s="4" t="inlineStr">
        <is>
          <t>Comfort</t>
        </is>
      </c>
      <c r="D231" s="4" t="inlineStr">
        <is>
          <t>Conductive cooling pad duty</t>
        </is>
      </c>
      <c r="E231" s="4" t="inlineStr">
        <is>
          <t>Q</t>
        </is>
      </c>
      <c r="F231" s="17" t="n"/>
      <c r="G231" s="17" t="n">
        <v>70</v>
      </c>
      <c r="H231" s="17" t="n">
        <v>90</v>
      </c>
      <c r="I231" s="4" t="inlineStr">
        <is>
          <t>W</t>
        </is>
      </c>
      <c r="J231" s="4" t="inlineStr">
        <is>
          <t>sizing-grade</t>
        </is>
      </c>
      <c r="K231" s="4" t="inlineStr"/>
      <c r="L231" s="4" t="inlineStr">
        <is>
          <t>Sleeping; skin 33–35 °C vs 29 °C sink through a Ti/CuNi plate HX</t>
        </is>
      </c>
      <c r="M231" s="4" t="inlineStr">
        <is>
          <t>30 §3</t>
        </is>
      </c>
    </row>
    <row r="232">
      <c r="A232" s="3" t="inlineStr">
        <is>
          <t>IN-014</t>
        </is>
      </c>
      <c r="B232" s="4" t="inlineStr">
        <is>
          <t>Platform</t>
        </is>
      </c>
      <c r="C232" s="4" t="inlineStr">
        <is>
          <t>Raw water</t>
        </is>
      </c>
      <c r="D232" s="4" t="inlineStr">
        <is>
          <t>Marine intake depth</t>
        </is>
      </c>
      <c r="E232" s="4" t="inlineStr">
        <is>
          <t>d</t>
        </is>
      </c>
      <c r="F232" s="17" t="n"/>
      <c r="G232" s="17" t="n">
        <v>5</v>
      </c>
      <c r="H232" s="17" t="n">
        <v>10</v>
      </c>
      <c r="I232" s="4" t="inlineStr">
        <is>
          <t>m</t>
        </is>
      </c>
      <c r="J232" s="4" t="inlineStr">
        <is>
          <t>procurement-grade</t>
        </is>
      </c>
      <c r="K232" s="4" t="inlineStr"/>
      <c r="L232" s="4" t="inlineStr">
        <is>
          <t>For stability and cleanliness, NOT temperature (mixed layer isothermal to 20–40 m)</t>
        </is>
      </c>
      <c r="M232" s="4" t="inlineStr">
        <is>
          <t>30 §3</t>
        </is>
      </c>
    </row>
    <row r="233">
      <c r="A233" s="3" t="inlineStr">
        <is>
          <t>IN-015</t>
        </is>
      </c>
      <c r="B233" s="4" t="inlineStr">
        <is>
          <t>Platform</t>
        </is>
      </c>
      <c r="C233" s="4" t="inlineStr">
        <is>
          <t>Marine</t>
        </is>
      </c>
      <c r="D233" s="4" t="inlineStr">
        <is>
          <t>Design heel / roll</t>
        </is>
      </c>
      <c r="E233" s="4" t="inlineStr">
        <is>
          <t>θ</t>
        </is>
      </c>
      <c r="F233" s="17" t="n"/>
      <c r="G233" s="17" t="n">
        <v>15</v>
      </c>
      <c r="H233" s="17" t="n">
        <v>20</v>
      </c>
      <c r="I233" s="4" t="inlineStr">
        <is>
          <t>°</t>
        </is>
      </c>
      <c r="J233" s="4" t="inlineStr">
        <is>
          <t>requirement</t>
        </is>
      </c>
      <c r="K233" s="4" t="inlineStr">
        <is>
          <t>I, H</t>
        </is>
      </c>
      <c r="L233" s="4" t="inlineStr">
        <is>
          <t>Flooded-mode fallbacks, staged headers, anti-slosh rules</t>
        </is>
      </c>
      <c r="M233" s="4" t="inlineStr">
        <is>
          <t>00 §1</t>
        </is>
      </c>
    </row>
    <row r="234">
      <c r="A234" s="3" t="inlineStr">
        <is>
          <t>IN-016</t>
        </is>
      </c>
      <c r="B234" s="4" t="inlineStr">
        <is>
          <t>Platform</t>
        </is>
      </c>
      <c r="C234" s="4" t="inlineStr">
        <is>
          <t>Marine</t>
        </is>
      </c>
      <c r="D234" s="4" t="inlineStr">
        <is>
          <t>Passive fluid-path heel rating</t>
        </is>
      </c>
      <c r="E234" s="4" t="inlineStr">
        <is>
          <t>θ</t>
        </is>
      </c>
      <c r="F234" s="17" t="n">
        <v>30</v>
      </c>
      <c r="G234" s="17" t="n"/>
      <c r="H234" s="17" t="n"/>
      <c r="I234" s="4" t="inlineStr">
        <is>
          <t>°</t>
        </is>
      </c>
      <c r="J234" s="4" t="inlineStr">
        <is>
          <t>requirement</t>
        </is>
      </c>
      <c r="K234" s="4" t="inlineStr"/>
      <c r="L234" s="4" t="inlineStr">
        <is>
          <t>Thermosyphons, wicked heat pipes, trapped siphons, check-valved backups</t>
        </is>
      </c>
      <c r="M234" s="4" t="inlineStr">
        <is>
          <t>30 §7</t>
        </is>
      </c>
    </row>
    <row r="235">
      <c r="A235" s="3" t="inlineStr">
        <is>
          <t>IN-017</t>
        </is>
      </c>
      <c r="B235" s="4" t="inlineStr">
        <is>
          <t>Platform</t>
        </is>
      </c>
      <c r="C235" s="4" t="inlineStr">
        <is>
          <t>Interface</t>
        </is>
      </c>
      <c r="D235" s="4" t="inlineStr">
        <is>
          <t>Cascade tap — liquid-track sealed still</t>
        </is>
      </c>
      <c r="E235" s="4" t="inlineStr">
        <is>
          <t>T</t>
        </is>
      </c>
      <c r="F235" s="17" t="n"/>
      <c r="G235" s="17" t="n">
        <v>60</v>
      </c>
      <c r="H235" s="17" t="n">
        <v>93</v>
      </c>
      <c r="I235" s="4" t="inlineStr">
        <is>
          <t>°C</t>
        </is>
      </c>
      <c r="J235" s="4" t="inlineStr">
        <is>
          <t>requirement</t>
        </is>
      </c>
      <c r="K235" s="4" t="inlineStr">
        <is>
          <t>D</t>
        </is>
      </c>
      <c r="L235" s="4" t="inlineStr">
        <is>
          <t>Interface requirement on any source; grade from LQ-067 / IN-010 (X2)</t>
        </is>
      </c>
      <c r="M235" s="4" t="inlineStr">
        <is>
          <t>30, function statement</t>
        </is>
      </c>
    </row>
    <row r="236">
      <c r="A236" s="3" t="inlineStr">
        <is>
          <t>IN-018</t>
        </is>
      </c>
      <c r="B236" s="4" t="inlineStr">
        <is>
          <t>Platform</t>
        </is>
      </c>
      <c r="C236" s="4" t="inlineStr">
        <is>
          <t>Interface</t>
        </is>
      </c>
      <c r="D236" s="4" t="inlineStr">
        <is>
          <t>Cascade tap — solid-track regeneration</t>
        </is>
      </c>
      <c r="E236" s="4" t="inlineStr">
        <is>
          <t>T</t>
        </is>
      </c>
      <c r="F236" s="17" t="n"/>
      <c r="G236" s="17" t="n">
        <v>60</v>
      </c>
      <c r="H236" s="17" t="n">
        <v>65</v>
      </c>
      <c r="I236" s="4" t="inlineStr">
        <is>
          <t>°C</t>
        </is>
      </c>
      <c r="J236" s="4" t="inlineStr">
        <is>
          <t>requirement</t>
        </is>
      </c>
      <c r="K236" s="4" t="inlineStr">
        <is>
          <t>M2</t>
        </is>
      </c>
      <c r="L236" s="4" t="inlineStr">
        <is>
          <t>Interface requirement on any source; grade from SD-024 (F2)</t>
        </is>
      </c>
      <c r="M236" s="4" t="inlineStr">
        <is>
          <t>30, function statement</t>
        </is>
      </c>
    </row>
    <row r="237">
      <c r="A237" s="3" t="inlineStr">
        <is>
          <t>IN-019</t>
        </is>
      </c>
      <c r="B237" s="4" t="inlineStr">
        <is>
          <t>Platform</t>
        </is>
      </c>
      <c r="C237" s="4" t="inlineStr">
        <is>
          <t>Interface</t>
        </is>
      </c>
      <c r="D237" s="4" t="inlineStr">
        <is>
          <t>Cascade tap — potash CO₂ bed where primary</t>
        </is>
      </c>
      <c r="E237" s="4" t="inlineStr">
        <is>
          <t>T</t>
        </is>
      </c>
      <c r="F237" s="17" t="n">
        <v>130</v>
      </c>
      <c r="G237" s="17" t="n"/>
      <c r="H237" s="17" t="n"/>
      <c r="I237" s="4" t="inlineStr">
        <is>
          <t>°C</t>
        </is>
      </c>
      <c r="J237" s="4" t="inlineStr">
        <is>
          <t>requirement</t>
        </is>
      </c>
      <c r="K237" s="4" t="inlineStr">
        <is>
          <t>J-K</t>
        </is>
      </c>
      <c r="L237" s="4" t="inlineStr">
        <is>
          <t>Interface requirement, platform-conditional; grade from CO2-024 (X11). Stated as a floor (≥ ~130 °C)</t>
        </is>
      </c>
      <c r="M237" s="4" t="inlineStr">
        <is>
          <t>30, function statement</t>
        </is>
      </c>
    </row>
    <row r="238">
      <c r="A238" s="3" t="inlineStr">
        <is>
          <t>UP-001</t>
        </is>
      </c>
      <c r="B238" s="4" t="inlineStr">
        <is>
          <t>Upgrade</t>
        </is>
      </c>
      <c r="C238" s="4" t="inlineStr">
        <is>
          <t>X12 AHT</t>
        </is>
      </c>
      <c r="D238" s="4" t="inlineStr">
        <is>
          <t>Absorption heat transformer COP</t>
        </is>
      </c>
      <c r="E238" s="4" t="inlineStr">
        <is>
          <t>COP</t>
        </is>
      </c>
      <c r="F238" s="17" t="n"/>
      <c r="G238" s="17" t="n">
        <v>0.45</v>
      </c>
      <c r="H238" s="17" t="n">
        <v>0.48</v>
      </c>
      <c r="I238" s="4" t="inlineStr">
        <is>
          <t>—</t>
        </is>
      </c>
      <c r="J238" s="4" t="inlineStr">
        <is>
          <t>estimate-grade</t>
        </is>
      </c>
      <c r="K238" s="4" t="inlineStr">
        <is>
          <t>L</t>
        </is>
      </c>
      <c r="L238" s="4" t="inlineStr">
        <is>
          <t>Upgraded heat ÷ driving heat, before losses</t>
        </is>
      </c>
      <c r="M238" s="4" t="inlineStr">
        <is>
          <t>31 §2.4</t>
        </is>
      </c>
    </row>
    <row r="239">
      <c r="A239" s="3" t="inlineStr">
        <is>
          <t>UP-002</t>
        </is>
      </c>
      <c r="B239" s="4" t="inlineStr">
        <is>
          <t>Upgrade</t>
        </is>
      </c>
      <c r="C239" s="4" t="inlineStr">
        <is>
          <t>X12 AHT</t>
        </is>
      </c>
      <c r="D239" s="4" t="inlineStr">
        <is>
          <t>Evaporator temperature</t>
        </is>
      </c>
      <c r="E239" s="4" t="inlineStr">
        <is>
          <t>T_ev</t>
        </is>
      </c>
      <c r="F239" s="17" t="n"/>
      <c r="G239" s="17" t="n">
        <v>60</v>
      </c>
      <c r="H239" s="17" t="n">
        <v>65</v>
      </c>
      <c r="I239" s="4" t="inlineStr">
        <is>
          <t>°C</t>
        </is>
      </c>
      <c r="J239" s="4" t="inlineStr">
        <is>
          <t>estimate-grade</t>
        </is>
      </c>
      <c r="K239" s="4" t="inlineStr">
        <is>
          <t>L</t>
        </is>
      </c>
      <c r="L239" s="4" t="inlineStr">
        <is>
          <t>The waste tail itself, boiling distillate at ~20–25 kPa</t>
        </is>
      </c>
      <c r="M239" s="4" t="inlineStr">
        <is>
          <t>31 §2.2</t>
        </is>
      </c>
    </row>
    <row r="240">
      <c r="A240" s="3" t="inlineStr">
        <is>
          <t>UP-003</t>
        </is>
      </c>
      <c r="B240" s="4" t="inlineStr">
        <is>
          <t>Upgrade</t>
        </is>
      </c>
      <c r="C240" s="4" t="inlineStr">
        <is>
          <t>X12 AHT</t>
        </is>
      </c>
      <c r="D240" s="4" t="inlineStr">
        <is>
          <t>Absorber (delivered) temperature</t>
        </is>
      </c>
      <c r="E240" s="4" t="inlineStr">
        <is>
          <t>T_abs</t>
        </is>
      </c>
      <c r="F240" s="17" t="n"/>
      <c r="G240" s="17" t="n">
        <v>85</v>
      </c>
      <c r="H240" s="17" t="n">
        <v>90</v>
      </c>
      <c r="I240" s="4" t="inlineStr">
        <is>
          <t>°C</t>
        </is>
      </c>
      <c r="J240" s="4" t="inlineStr">
        <is>
          <t>estimate-grade</t>
        </is>
      </c>
      <c r="K240" s="4" t="inlineStr">
        <is>
          <t>L</t>
        </is>
      </c>
      <c r="L240" s="4" t="inlineStr">
        <is>
          <t>Amine-bed regen grade + hot-regen still grade</t>
        </is>
      </c>
      <c r="M240" s="4" t="inlineStr">
        <is>
          <t>31 §2.2</t>
        </is>
      </c>
    </row>
    <row r="241">
      <c r="A241" s="3" t="inlineStr">
        <is>
          <t>UP-004</t>
        </is>
      </c>
      <c r="B241" s="4" t="inlineStr">
        <is>
          <t>Upgrade</t>
        </is>
      </c>
      <c r="C241" s="4" t="inlineStr">
        <is>
          <t>X12 AHT</t>
        </is>
      </c>
      <c r="D241" s="4" t="inlineStr">
        <is>
          <t>Gross temperature lift</t>
        </is>
      </c>
      <c r="E241" s="4" t="inlineStr">
        <is>
          <t>ΔT</t>
        </is>
      </c>
      <c r="F241" s="17" t="n"/>
      <c r="G241" s="17" t="n">
        <v>20</v>
      </c>
      <c r="H241" s="17" t="n">
        <v>25</v>
      </c>
      <c r="I241" s="4" t="inlineStr">
        <is>
          <t>K</t>
        </is>
      </c>
      <c r="J241" s="4" t="inlineStr">
        <is>
          <t>estimate-grade</t>
        </is>
      </c>
      <c r="K241" s="4" t="inlineStr">
        <is>
          <t>L</t>
        </is>
      </c>
      <c r="L241" s="4" t="inlineStr"/>
      <c r="M241" s="4" t="inlineStr">
        <is>
          <t>31 §2.3</t>
        </is>
      </c>
    </row>
    <row r="242">
      <c r="A242" s="3" t="inlineStr">
        <is>
          <t>UP-005</t>
        </is>
      </c>
      <c r="B242" s="4" t="inlineStr">
        <is>
          <t>Upgrade</t>
        </is>
      </c>
      <c r="C242" s="4" t="inlineStr">
        <is>
          <t>X12 AHT</t>
        </is>
      </c>
      <c r="D242" s="4" t="inlineStr">
        <is>
          <t>Lift ceiling, 44 wt% @ T_ev 65 °C</t>
        </is>
      </c>
      <c r="E242" s="4" t="inlineStr">
        <is>
          <t>T_abs</t>
        </is>
      </c>
      <c r="F242" s="17" t="n">
        <v>91</v>
      </c>
      <c r="G242" s="17" t="n"/>
      <c r="H242" s="17" t="n"/>
      <c r="I242" s="4" t="inlineStr">
        <is>
          <t>°C</t>
        </is>
      </c>
      <c r="J242" s="4" t="inlineStr">
        <is>
          <t>estimate-grade</t>
        </is>
      </c>
      <c r="K242" s="4" t="inlineStr">
        <is>
          <t>A, L</t>
        </is>
      </c>
      <c r="L242" s="4" t="inlineStr">
        <is>
          <t>aw(x)·Psat(T_abs) &lt; Psat(T_ev); 85–86 °C at T_ev 60 °C</t>
        </is>
      </c>
      <c r="M242" s="4" t="inlineStr">
        <is>
          <t>31 §2.3</t>
        </is>
      </c>
    </row>
    <row r="243">
      <c r="A243" s="3" t="inlineStr">
        <is>
          <t>UP-006</t>
        </is>
      </c>
      <c r="B243" s="4" t="inlineStr">
        <is>
          <t>Upgrade</t>
        </is>
      </c>
      <c r="C243" s="4" t="inlineStr">
        <is>
          <t>X12 AHT</t>
        </is>
      </c>
      <c r="D243" s="4" t="inlineStr">
        <is>
          <t>Lift ceiling, 42 wt% @ T_ev 65 °C</t>
        </is>
      </c>
      <c r="E243" s="4" t="inlineStr">
        <is>
          <t>T_abs</t>
        </is>
      </c>
      <c r="F243" s="17" t="n">
        <v>86.5</v>
      </c>
      <c r="G243" s="17" t="n">
        <v>86</v>
      </c>
      <c r="H243" s="17" t="n">
        <v>87</v>
      </c>
      <c r="I243" s="4" t="inlineStr">
        <is>
          <t>°C</t>
        </is>
      </c>
      <c r="J243" s="4" t="inlineStr">
        <is>
          <t>estimate-grade</t>
        </is>
      </c>
      <c r="K243" s="4" t="inlineStr">
        <is>
          <t>A, L</t>
        </is>
      </c>
      <c r="L243" s="4" t="inlineStr">
        <is>
          <t>81 °C at T_ev 60 °C</t>
        </is>
      </c>
      <c r="M243" s="4" t="inlineStr">
        <is>
          <t>31 §2.3</t>
        </is>
      </c>
    </row>
    <row r="244">
      <c r="A244" s="3" t="inlineStr">
        <is>
          <t>UP-007</t>
        </is>
      </c>
      <c r="B244" s="4" t="inlineStr">
        <is>
          <t>Upgrade</t>
        </is>
      </c>
      <c r="C244" s="4" t="inlineStr">
        <is>
          <t>X12 AHT</t>
        </is>
      </c>
      <c r="D244" s="4" t="inlineStr">
        <is>
          <t>Tail heat per unit upgraded heat</t>
        </is>
      </c>
      <c r="E244" s="4" t="inlineStr">
        <is>
          <t>—</t>
        </is>
      </c>
      <c r="F244" s="17" t="n">
        <v>2.2</v>
      </c>
      <c r="G244" s="17" t="n"/>
      <c r="H244" s="17" t="n"/>
      <c r="I244" s="4" t="inlineStr">
        <is>
          <t>kW/kW</t>
        </is>
      </c>
      <c r="J244" s="4" t="inlineStr">
        <is>
          <t>estimate-grade</t>
        </is>
      </c>
      <c r="K244" s="4" t="inlineStr">
        <is>
          <t>L</t>
        </is>
      </c>
      <c r="L244" s="4" t="inlineStr">
        <is>
          <t>~5 kWh/day tail delivers the CO₂ battery's 2–2.5 kWh/day at grade</t>
        </is>
      </c>
      <c r="M244" s="4" t="inlineStr">
        <is>
          <t>31 §2.4</t>
        </is>
      </c>
    </row>
    <row r="245">
      <c r="A245" s="3" t="inlineStr">
        <is>
          <t>UP-008</t>
        </is>
      </c>
      <c r="B245" s="4" t="inlineStr">
        <is>
          <t>Upgrade</t>
        </is>
      </c>
      <c r="C245" s="4" t="inlineStr">
        <is>
          <t>X12 AHT</t>
        </is>
      </c>
      <c r="D245" s="4" t="inlineStr">
        <is>
          <t>Distillate lift pump head</t>
        </is>
      </c>
      <c r="E245" s="4" t="inlineStr">
        <is>
          <t>ΔP</t>
        </is>
      </c>
      <c r="F245" s="17" t="n">
        <v>16</v>
      </c>
      <c r="G245" s="17" t="n"/>
      <c r="H245" s="17" t="n"/>
      <c r="I245" s="4" t="inlineStr">
        <is>
          <t>kPa</t>
        </is>
      </c>
      <c r="J245" s="4" t="inlineStr">
        <is>
          <t>estimate-grade</t>
        </is>
      </c>
      <c r="K245" s="4" t="inlineStr"/>
      <c r="L245" s="4" t="inlineStr">
        <is>
          <t>Watt-scale peristaltic — unlike LiBr machines' solution pump</t>
        </is>
      </c>
      <c r="M245" s="4" t="inlineStr">
        <is>
          <t>31 §2.2</t>
        </is>
      </c>
    </row>
    <row r="246">
      <c r="A246" s="3" t="inlineStr">
        <is>
          <t>UP-009</t>
        </is>
      </c>
      <c r="B246" s="4" t="inlineStr">
        <is>
          <t>Upgrade</t>
        </is>
      </c>
      <c r="C246" s="4" t="inlineStr">
        <is>
          <t>X12 AHT</t>
        </is>
      </c>
      <c r="D246" s="4" t="inlineStr">
        <is>
          <t>Absorption latent release</t>
        </is>
      </c>
      <c r="E246" s="4" t="inlineStr">
        <is>
          <t>h</t>
        </is>
      </c>
      <c r="F246" s="17" t="n">
        <v>2.6</v>
      </c>
      <c r="G246" s="17" t="n"/>
      <c r="H246" s="17" t="n"/>
      <c r="I246" s="4" t="inlineStr">
        <is>
          <t>MJ/kg</t>
        </is>
      </c>
      <c r="J246" s="4" t="inlineStr">
        <is>
          <t>reference</t>
        </is>
      </c>
      <c r="K246" s="4" t="inlineStr"/>
      <c r="L246" s="4" t="inlineStr">
        <is>
          <t>Released at the brine's temperature — the whole X12 finding</t>
        </is>
      </c>
      <c r="M246" s="4" t="inlineStr">
        <is>
          <t>31 §2.1</t>
        </is>
      </c>
    </row>
    <row r="247">
      <c r="A247" s="3" t="inlineStr">
        <is>
          <t>UP-010</t>
        </is>
      </c>
      <c r="B247" s="4" t="inlineStr">
        <is>
          <t>Upgrade</t>
        </is>
      </c>
      <c r="C247" s="4" t="inlineStr">
        <is>
          <t>VC heat pump</t>
        </is>
      </c>
      <c r="D247" s="4" t="inlineStr">
        <is>
          <t>Electrical draw</t>
        </is>
      </c>
      <c r="E247" s="4" t="inlineStr">
        <is>
          <t>P_e</t>
        </is>
      </c>
      <c r="F247" s="17" t="n"/>
      <c r="G247" s="17" t="n">
        <v>350</v>
      </c>
      <c r="H247" s="17" t="n">
        <v>500</v>
      </c>
      <c r="I247" s="4" t="inlineStr">
        <is>
          <t>W</t>
        </is>
      </c>
      <c r="J247" s="4" t="inlineStr">
        <is>
          <t>estimate-grade</t>
        </is>
      </c>
      <c r="K247" s="4" t="inlineStr">
        <is>
          <t>I</t>
        </is>
      </c>
      <c r="L247" s="4" t="inlineStr">
        <is>
          <t>5× step over the 25–80 W baseline — boost mode only</t>
        </is>
      </c>
      <c r="M247" s="4" t="inlineStr">
        <is>
          <t>31 §3</t>
        </is>
      </c>
    </row>
    <row r="248">
      <c r="A248" s="3" t="inlineStr">
        <is>
          <t>UP-011</t>
        </is>
      </c>
      <c r="B248" s="4" t="inlineStr">
        <is>
          <t>Upgrade</t>
        </is>
      </c>
      <c r="C248" s="4" t="inlineStr">
        <is>
          <t>VC heat pump</t>
        </is>
      </c>
      <c r="D248" s="4" t="inlineStr">
        <is>
          <t>Evaporator duty</t>
        </is>
      </c>
      <c r="E248" s="4" t="inlineStr">
        <is>
          <t>Q_ev</t>
        </is>
      </c>
      <c r="F248" s="17" t="n"/>
      <c r="G248" s="17" t="n">
        <v>0.8</v>
      </c>
      <c r="H248" s="17" t="n">
        <v>1</v>
      </c>
      <c r="I248" s="4" t="inlineStr">
        <is>
          <t>kW</t>
        </is>
      </c>
      <c r="J248" s="4" t="inlineStr">
        <is>
          <t>estimate-grade</t>
        </is>
      </c>
      <c r="K248" s="4" t="inlineStr">
        <is>
          <t>I</t>
        </is>
      </c>
      <c r="L248" s="4" t="inlineStr">
        <is>
          <t>0.66 kW absorption heat + parasitic ingress through the contactor</t>
        </is>
      </c>
      <c r="M248" s="4" t="inlineStr">
        <is>
          <t>31 §3</t>
        </is>
      </c>
    </row>
    <row r="249">
      <c r="A249" s="3" t="inlineStr">
        <is>
          <t>UP-012</t>
        </is>
      </c>
      <c r="B249" s="4" t="inlineStr">
        <is>
          <t>Upgrade</t>
        </is>
      </c>
      <c r="C249" s="4" t="inlineStr">
        <is>
          <t>VC heat pump</t>
        </is>
      </c>
      <c r="D249" s="4" t="inlineStr">
        <is>
          <t>Condenser output</t>
        </is>
      </c>
      <c r="E249" s="4" t="inlineStr">
        <is>
          <t>Q_c</t>
        </is>
      </c>
      <c r="F249" s="17" t="n"/>
      <c r="G249" s="17" t="n">
        <v>1.1</v>
      </c>
      <c r="H249" s="17" t="n">
        <v>1.5</v>
      </c>
      <c r="I249" s="4" t="inlineStr">
        <is>
          <t>kW</t>
        </is>
      </c>
      <c r="J249" s="4" t="inlineStr">
        <is>
          <t>estimate-grade</t>
        </is>
      </c>
      <c r="K249" s="4" t="inlineStr"/>
      <c r="L249" s="4" t="inlineStr">
        <is>
          <t>Covers the 0.92 kW regen peak with surplus into the buffer</t>
        </is>
      </c>
      <c r="M249" s="4" t="inlineStr">
        <is>
          <t>31 §3</t>
        </is>
      </c>
    </row>
    <row r="250">
      <c r="A250" s="3" t="inlineStr">
        <is>
          <t>UP-013</t>
        </is>
      </c>
      <c r="B250" s="4" t="inlineStr">
        <is>
          <t>Upgrade</t>
        </is>
      </c>
      <c r="C250" s="4" t="inlineStr">
        <is>
          <t>VC heat pump</t>
        </is>
      </c>
      <c r="D250" s="4" t="inlineStr">
        <is>
          <t>Real heating COP at ~55 K lift</t>
        </is>
      </c>
      <c r="E250" s="4" t="inlineStr">
        <is>
          <t>COP_h</t>
        </is>
      </c>
      <c r="F250" s="17" t="n"/>
      <c r="G250" s="17" t="n">
        <v>2.5</v>
      </c>
      <c r="H250" s="17" t="n">
        <v>3</v>
      </c>
      <c r="I250" s="4" t="inlineStr">
        <is>
          <t>—</t>
        </is>
      </c>
      <c r="J250" s="4" t="inlineStr">
        <is>
          <t>estimate-grade</t>
        </is>
      </c>
      <c r="K250" s="4" t="inlineStr"/>
      <c r="L250" s="4" t="inlineStr">
        <is>
          <t>Small hermetic, inverter-driven</t>
        </is>
      </c>
      <c r="M250" s="4" t="inlineStr">
        <is>
          <t>31 §3</t>
        </is>
      </c>
    </row>
    <row r="251">
      <c r="A251" s="3" t="inlineStr">
        <is>
          <t>UP-014</t>
        </is>
      </c>
      <c r="B251" s="4" t="inlineStr">
        <is>
          <t>Upgrade</t>
        </is>
      </c>
      <c r="C251" s="4" t="inlineStr">
        <is>
          <t>VC heat pump</t>
        </is>
      </c>
      <c r="D251" s="4" t="inlineStr">
        <is>
          <t>Net floor gain at 20 °C brine</t>
        </is>
      </c>
      <c r="E251" s="4" t="inlineStr">
        <is>
          <t>Δω</t>
        </is>
      </c>
      <c r="F251" s="17" t="n"/>
      <c r="G251" s="17" t="n">
        <v>3.5</v>
      </c>
      <c r="H251" s="17" t="n">
        <v>4.5</v>
      </c>
      <c r="I251" s="4" t="inlineStr">
        <is>
          <t>g/kg</t>
        </is>
      </c>
      <c r="J251" s="4" t="inlineStr">
        <is>
          <t>estimate-grade</t>
        </is>
      </c>
      <c r="K251" s="4" t="inlineStr">
        <is>
          <t>A, I</t>
        </is>
      </c>
      <c r="L251" s="4" t="inlineStr">
        <is>
          <t>Most of the LiCl/hot-regen benefit for ~400 W and no new chemistry</t>
        </is>
      </c>
      <c r="M251" s="4" t="inlineStr">
        <is>
          <t>31 §3</t>
        </is>
      </c>
    </row>
    <row r="252">
      <c r="A252" s="3" t="inlineStr">
        <is>
          <t>UP-015</t>
        </is>
      </c>
      <c r="B252" s="4" t="inlineStr">
        <is>
          <t>Upgrade</t>
        </is>
      </c>
      <c r="C252" s="4" t="inlineStr">
        <is>
          <t>VC heat pump</t>
        </is>
      </c>
      <c r="D252" s="4" t="inlineStr">
        <is>
          <t>Glycol-loop approach penalty</t>
        </is>
      </c>
      <c r="E252" s="4" t="inlineStr">
        <is>
          <t>Δω</t>
        </is>
      </c>
      <c r="F252" s="17" t="n"/>
      <c r="G252" s="17" t="n">
        <v>1.5</v>
      </c>
      <c r="H252" s="17" t="n">
        <v>2</v>
      </c>
      <c r="I252" s="4" t="inlineStr">
        <is>
          <t>g/kg</t>
        </is>
      </c>
      <c r="J252" s="4" t="inlineStr">
        <is>
          <t>estimate-grade</t>
        </is>
      </c>
      <c r="K252" s="4" t="inlineStr"/>
      <c r="L252" s="4" t="inlineStr">
        <is>
          <t>Cost of the 2–3 K two-worlds isolation approach</t>
        </is>
      </c>
      <c r="M252" s="4" t="inlineStr">
        <is>
          <t>31 §3</t>
        </is>
      </c>
    </row>
    <row r="253">
      <c r="A253" s="3" t="inlineStr">
        <is>
          <t>UP-016</t>
        </is>
      </c>
      <c r="B253" s="4" t="inlineStr">
        <is>
          <t>Upgrade</t>
        </is>
      </c>
      <c r="C253" s="4" t="inlineStr">
        <is>
          <t>VC heat pump</t>
        </is>
      </c>
      <c r="D253" s="4" t="inlineStr">
        <is>
          <t>R290 condensing pressure at 70 °C</t>
        </is>
      </c>
      <c r="E253" s="4" t="inlineStr">
        <is>
          <t>P</t>
        </is>
      </c>
      <c r="F253" s="17" t="n">
        <v>2.6</v>
      </c>
      <c r="G253" s="17" t="n"/>
      <c r="H253" s="17" t="n"/>
      <c r="I253" s="4" t="inlineStr">
        <is>
          <t>MPa</t>
        </is>
      </c>
      <c r="J253" s="4" t="inlineStr">
        <is>
          <t>reference</t>
        </is>
      </c>
      <c r="K253" s="4" t="inlineStr"/>
      <c r="L253" s="4" t="inlineStr">
        <is>
          <t>Procurement winner: 0.5–1 kW HPWH rotaries; T_crit 96.7 °C</t>
        </is>
      </c>
      <c r="M253" s="4" t="inlineStr">
        <is>
          <t>31 §3</t>
        </is>
      </c>
    </row>
    <row r="254">
      <c r="A254" s="3" t="inlineStr">
        <is>
          <t>UP-017</t>
        </is>
      </c>
      <c r="B254" s="4" t="inlineStr">
        <is>
          <t>Upgrade</t>
        </is>
      </c>
      <c r="C254" s="4" t="inlineStr">
        <is>
          <t>VC heat pump</t>
        </is>
      </c>
      <c r="D254" s="4" t="inlineStr">
        <is>
          <t>R600a condensing pressure at 70 °C</t>
        </is>
      </c>
      <c r="E254" s="4" t="inlineStr">
        <is>
          <t>P</t>
        </is>
      </c>
      <c r="F254" s="17" t="n">
        <v>1.05</v>
      </c>
      <c r="G254" s="17" t="n"/>
      <c r="H254" s="17" t="n"/>
      <c r="I254" s="4" t="inlineStr">
        <is>
          <t>MPa</t>
        </is>
      </c>
      <c r="J254" s="4" t="inlineStr">
        <is>
          <t>reference</t>
        </is>
      </c>
      <c r="K254" s="4" t="inlineStr"/>
      <c r="L254" s="4" t="inlineStr">
        <is>
          <t>Best thermodynamic fit; charge 150–300 g, A3 flammable</t>
        </is>
      </c>
      <c r="M254" s="4" t="inlineStr">
        <is>
          <t>31 §3</t>
        </is>
      </c>
    </row>
    <row r="255">
      <c r="A255" s="3" t="inlineStr">
        <is>
          <t>UP-018</t>
        </is>
      </c>
      <c r="B255" s="4" t="inlineStr">
        <is>
          <t>Upgrade</t>
        </is>
      </c>
      <c r="C255" s="4" t="inlineStr">
        <is>
          <t>Rejected</t>
        </is>
      </c>
      <c r="D255" s="4" t="inlineStr">
        <is>
          <t>Prime-mover heat pump electrical draw</t>
        </is>
      </c>
      <c r="E255" s="4" t="inlineStr">
        <is>
          <t>P_e</t>
        </is>
      </c>
      <c r="F255" s="17" t="n">
        <v>2</v>
      </c>
      <c r="G255" s="17" t="n"/>
      <c r="H255" s="17" t="n"/>
      <c r="I255" s="4" t="inlineStr">
        <is>
          <t>kW</t>
        </is>
      </c>
      <c r="J255" s="4" t="inlineStr">
        <is>
          <t>rejected</t>
        </is>
      </c>
      <c r="K255" s="4" t="inlineStr"/>
      <c r="L255" s="4" t="inlineStr">
        <is>
          <t>At ~35 K sink-to-regen lift, COP_h 3.5–4 — loses to a VC-AC outright</t>
        </is>
      </c>
      <c r="M255" s="4" t="inlineStr">
        <is>
          <t>31 §1</t>
        </is>
      </c>
    </row>
    <row r="256">
      <c r="A256" s="3" t="inlineStr">
        <is>
          <t>UP-019</t>
        </is>
      </c>
      <c r="B256" s="4" t="inlineStr">
        <is>
          <t>Upgrade</t>
        </is>
      </c>
      <c r="C256" s="4" t="inlineStr">
        <is>
          <t>Still MVR</t>
        </is>
      </c>
      <c r="D256" s="4" t="inlineStr">
        <is>
          <t>Electrical draw at 0.88 kg/h</t>
        </is>
      </c>
      <c r="E256" s="4" t="inlineStr">
        <is>
          <t>P_e</t>
        </is>
      </c>
      <c r="F256" s="17" t="n"/>
      <c r="G256" s="17" t="n">
        <v>110</v>
      </c>
      <c r="H256" s="17" t="n">
        <v>140</v>
      </c>
      <c r="I256" s="4" t="inlineStr">
        <is>
          <t>W</t>
        </is>
      </c>
      <c r="J256" s="4" t="inlineStr">
        <is>
          <t>estimate-grade</t>
        </is>
      </c>
      <c r="K256" s="4" t="inlineStr"/>
      <c r="L256" s="4" t="inlineStr">
        <is>
          <t>PV-scale: makes the moisture battery rechargeable through a heat outage</t>
        </is>
      </c>
      <c r="M256" s="4" t="inlineStr">
        <is>
          <t>31 §4</t>
        </is>
      </c>
    </row>
    <row r="257">
      <c r="A257" s="3" t="inlineStr">
        <is>
          <t>UP-020</t>
        </is>
      </c>
      <c r="B257" s="4" t="inlineStr">
        <is>
          <t>Upgrade</t>
        </is>
      </c>
      <c r="C257" s="4" t="inlineStr">
        <is>
          <t>Still MVR</t>
        </is>
      </c>
      <c r="D257" s="4" t="inlineStr">
        <is>
          <t>Specific compression work</t>
        </is>
      </c>
      <c r="E257" s="4" t="inlineStr">
        <is>
          <t>w</t>
        </is>
      </c>
      <c r="F257" s="17" t="n"/>
      <c r="G257" s="17" t="n">
        <v>120</v>
      </c>
      <c r="H257" s="17" t="n">
        <v>160</v>
      </c>
      <c r="I257" s="4" t="inlineStr">
        <is>
          <t>Wh/kg</t>
        </is>
      </c>
      <c r="J257" s="4" t="inlineStr">
        <is>
          <t>estimate-grade</t>
        </is>
      </c>
      <c r="K257" s="4" t="inlineStr"/>
      <c r="L257" s="4" t="inlineStr">
        <is>
          <t>vs ~1,800 Wh/kg thermal</t>
        </is>
      </c>
      <c r="M257" s="4" t="inlineStr">
        <is>
          <t>31 §4</t>
        </is>
      </c>
    </row>
    <row r="258">
      <c r="A258" s="3" t="inlineStr">
        <is>
          <t>UP-021</t>
        </is>
      </c>
      <c r="B258" s="4" t="inlineStr">
        <is>
          <t>Upgrade</t>
        </is>
      </c>
      <c r="C258" s="4" t="inlineStr">
        <is>
          <t>Still MVR</t>
        </is>
      </c>
      <c r="D258" s="4" t="inlineStr">
        <is>
          <t>Headspace pressure, 70 °C / 42 wt%</t>
        </is>
      </c>
      <c r="E258" s="4" t="inlineStr">
        <is>
          <t>P</t>
        </is>
      </c>
      <c r="F258" s="17" t="n">
        <v>12.5</v>
      </c>
      <c r="G258" s="17" t="n"/>
      <c r="H258" s="17" t="n"/>
      <c r="I258" s="4" t="inlineStr">
        <is>
          <t>kPa</t>
        </is>
      </c>
      <c r="J258" s="4" t="inlineStr">
        <is>
          <t>estimate-grade</t>
        </is>
      </c>
      <c r="K258" s="4" t="inlineStr"/>
      <c r="L258" s="4" t="inlineStr">
        <is>
          <t>aw ≈ 0.40 — nearly half the pressure ratio is the activity depression</t>
        </is>
      </c>
      <c r="M258" s="4" t="inlineStr">
        <is>
          <t>31 §4</t>
        </is>
      </c>
    </row>
    <row r="259">
      <c r="A259" s="3" t="inlineStr">
        <is>
          <t>UP-022</t>
        </is>
      </c>
      <c r="B259" s="4" t="inlineStr">
        <is>
          <t>Upgrade</t>
        </is>
      </c>
      <c r="C259" s="4" t="inlineStr">
        <is>
          <t>Still MVR</t>
        </is>
      </c>
      <c r="D259" s="4" t="inlineStr">
        <is>
          <t>In-pool condensing pressure</t>
        </is>
      </c>
      <c r="E259" s="4" t="inlineStr">
        <is>
          <t>P</t>
        </is>
      </c>
      <c r="F259" s="17" t="n">
        <v>40</v>
      </c>
      <c r="G259" s="17" t="n"/>
      <c r="H259" s="17" t="n"/>
      <c r="I259" s="4" t="inlineStr">
        <is>
          <t>kPa</t>
        </is>
      </c>
      <c r="J259" s="4" t="inlineStr">
        <is>
          <t>estimate-grade</t>
        </is>
      </c>
      <c r="K259" s="4" t="inlineStr"/>
      <c r="L259" s="4" t="inlineStr">
        <is>
          <t>Sat. 76–78 °C for a useful 6–8 K ΔT → pressure ratio ~3</t>
        </is>
      </c>
      <c r="M259" s="4" t="inlineStr">
        <is>
          <t>31 §4</t>
        </is>
      </c>
    </row>
    <row r="260">
      <c r="A260" s="3" t="inlineStr">
        <is>
          <t>UP-023</t>
        </is>
      </c>
      <c r="B260" s="4" t="inlineStr">
        <is>
          <t>Upgrade</t>
        </is>
      </c>
      <c r="C260" s="4" t="inlineStr">
        <is>
          <t>Still MVR</t>
        </is>
      </c>
      <c r="D260" s="4" t="inlineStr">
        <is>
          <t>Vapour volumetric flow</t>
        </is>
      </c>
      <c r="E260" s="4" t="inlineStr">
        <is>
          <t>V̇</t>
        </is>
      </c>
      <c r="F260" s="17" t="n"/>
      <c r="G260" s="17" t="n">
        <v>11</v>
      </c>
      <c r="H260" s="17" t="n">
        <v>13</v>
      </c>
      <c r="I260" s="4" t="inlineStr">
        <is>
          <t>m³/h</t>
        </is>
      </c>
      <c r="J260" s="4" t="inlineStr">
        <is>
          <t>estimate-grade</t>
        </is>
      </c>
      <c r="K260" s="4" t="inlineStr"/>
      <c r="L260" s="4" t="inlineStr">
        <is>
          <t>At 12.5 kPa; PR ~3 excludes regenerative blowers (PR ~1.2 ceiling)</t>
        </is>
      </c>
      <c r="M260" s="4" t="inlineStr">
        <is>
          <t>31 §4</t>
        </is>
      </c>
    </row>
    <row r="261">
      <c r="A261" s="3" t="inlineStr">
        <is>
          <t>UP-024</t>
        </is>
      </c>
      <c r="B261" s="4" t="inlineStr">
        <is>
          <t>Upgrade</t>
        </is>
      </c>
      <c r="C261" s="4" t="inlineStr">
        <is>
          <t>Still MVR</t>
        </is>
      </c>
      <c r="D261" s="4" t="inlineStr">
        <is>
          <t>Compression superheat</t>
        </is>
      </c>
      <c r="E261" s="4" t="inlineStr">
        <is>
          <t>ΔT</t>
        </is>
      </c>
      <c r="F261" s="17" t="n"/>
      <c r="G261" s="17" t="n">
        <v>80</v>
      </c>
      <c r="H261" s="17" t="n">
        <v>90</v>
      </c>
      <c r="I261" s="4" t="inlineStr">
        <is>
          <t>K</t>
        </is>
      </c>
      <c r="J261" s="4" t="inlineStr">
        <is>
          <t>estimate-grade</t>
        </is>
      </c>
      <c r="K261" s="4" t="inlineStr"/>
      <c r="L261" s="4" t="inlineStr">
        <is>
          <t>Condensate-spray desuperheater ahead of the pool coil</t>
        </is>
      </c>
      <c r="M261" s="4" t="inlineStr">
        <is>
          <t>31 §4</t>
        </is>
      </c>
    </row>
    <row r="262">
      <c r="A262" s="3" t="inlineStr">
        <is>
          <t>UP-025</t>
        </is>
      </c>
      <c r="B262" s="4" t="inlineStr">
        <is>
          <t>Upgrade</t>
        </is>
      </c>
      <c r="C262" s="4" t="inlineStr">
        <is>
          <t>AlFu chiller</t>
        </is>
      </c>
      <c r="D262" s="4" t="inlineStr">
        <is>
          <t>Chilled-water cooling duty</t>
        </is>
      </c>
      <c r="E262" s="4" t="inlineStr">
        <is>
          <t>Q_c</t>
        </is>
      </c>
      <c r="F262" s="17" t="n"/>
      <c r="G262" s="17" t="n">
        <v>0.9</v>
      </c>
      <c r="H262" s="17" t="n">
        <v>1</v>
      </c>
      <c r="I262" s="4" t="inlineStr">
        <is>
          <t>kW</t>
        </is>
      </c>
      <c r="J262" s="4" t="inlineStr">
        <is>
          <t>estimate-grade</t>
        </is>
      </c>
      <c r="K262" s="4" t="inlineStr">
        <is>
          <t>M-series</t>
        </is>
      </c>
      <c r="L262" s="4" t="inlineStr">
        <is>
          <t>Holding brine at ~20 °C</t>
        </is>
      </c>
      <c r="M262" s="4" t="inlineStr">
        <is>
          <t>31 §5</t>
        </is>
      </c>
    </row>
    <row r="263">
      <c r="A263" s="3" t="inlineStr">
        <is>
          <t>UP-026</t>
        </is>
      </c>
      <c r="B263" s="4" t="inlineStr">
        <is>
          <t>Upgrade</t>
        </is>
      </c>
      <c r="C263" s="4" t="inlineStr">
        <is>
          <t>AlFu chiller</t>
        </is>
      </c>
      <c r="D263" s="4" t="inlineStr">
        <is>
          <t>Thermal COP</t>
        </is>
      </c>
      <c r="E263" s="4" t="inlineStr">
        <is>
          <t>COP_th</t>
        </is>
      </c>
      <c r="F263" s="17" t="n"/>
      <c r="G263" s="17" t="n">
        <v>0.4</v>
      </c>
      <c r="H263" s="17" t="n">
        <v>0.5</v>
      </c>
      <c r="I263" s="4" t="inlineStr">
        <is>
          <t>—</t>
        </is>
      </c>
      <c r="J263" s="4" t="inlineStr">
        <is>
          <t>estimate-grade</t>
        </is>
      </c>
      <c r="K263" s="4" t="inlineStr">
        <is>
          <t>M-series</t>
        </is>
      </c>
      <c r="L263" s="4" t="inlineStr">
        <is>
          <t>→ 2–2.5 kW of 60–90 °C heat; +2–3 m² collector if solar-fed</t>
        </is>
      </c>
      <c r="M263" s="4" t="inlineStr">
        <is>
          <t>31 §5</t>
        </is>
      </c>
    </row>
    <row r="264">
      <c r="A264" s="3" t="inlineStr">
        <is>
          <t>UP-027</t>
        </is>
      </c>
      <c r="B264" s="4" t="inlineStr">
        <is>
          <t>Upgrade</t>
        </is>
      </c>
      <c r="C264" s="4" t="inlineStr">
        <is>
          <t>AlFu chiller</t>
        </is>
      </c>
      <c r="D264" s="4" t="inlineStr">
        <is>
          <t>Evaporator absolute pressure</t>
        </is>
      </c>
      <c r="E264" s="4" t="inlineStr">
        <is>
          <t>P</t>
        </is>
      </c>
      <c r="F264" s="17" t="n"/>
      <c r="G264" s="17" t="n">
        <v>1.7</v>
      </c>
      <c r="H264" s="17" t="n">
        <v>2</v>
      </c>
      <c r="I264" s="4" t="inlineStr">
        <is>
          <t>kPa</t>
        </is>
      </c>
      <c r="J264" s="4" t="inlineStr">
        <is>
          <t>estimate-grade</t>
        </is>
      </c>
      <c r="K264" s="4" t="inlineStr">
        <is>
          <t>M-series</t>
        </is>
      </c>
      <c r="L264" s="4" t="inlineStr">
        <is>
          <t>Leak-tightness is the make-or-break property</t>
        </is>
      </c>
      <c r="M264" s="4" t="inlineStr">
        <is>
          <t>31 §5</t>
        </is>
      </c>
    </row>
    <row r="265">
      <c r="A265" s="3" t="inlineStr">
        <is>
          <t>UP-028</t>
        </is>
      </c>
      <c r="B265" s="4" t="inlineStr">
        <is>
          <t>Upgrade</t>
        </is>
      </c>
      <c r="C265" s="4" t="inlineStr">
        <is>
          <t>Crystallizer</t>
        </is>
      </c>
      <c r="D265" s="4" t="inlineStr">
        <is>
          <t>Dihydrate CaCl₂ content</t>
        </is>
      </c>
      <c r="E265" s="4" t="inlineStr">
        <is>
          <t>w</t>
        </is>
      </c>
      <c r="F265" s="17" t="n">
        <v>75.5</v>
      </c>
      <c r="G265" s="17" t="n"/>
      <c r="H265" s="17" t="n"/>
      <c r="I265" s="4" t="inlineStr">
        <is>
          <t>wt%</t>
        </is>
      </c>
      <c r="J265" s="4" t="inlineStr">
        <is>
          <t>reference</t>
        </is>
      </c>
      <c r="K265" s="4" t="inlineStr">
        <is>
          <t>A3</t>
        </is>
      </c>
      <c r="L265" s="4" t="inlineStr">
        <is>
          <t>CaCl₂·2H₂O</t>
        </is>
      </c>
      <c r="M265" s="4" t="inlineStr">
        <is>
          <t>31 §6</t>
        </is>
      </c>
    </row>
    <row r="266">
      <c r="A266" s="3" t="inlineStr">
        <is>
          <t>UP-029</t>
        </is>
      </c>
      <c r="B266" s="4" t="inlineStr">
        <is>
          <t>Upgrade</t>
        </is>
      </c>
      <c r="C266" s="4" t="inlineStr">
        <is>
          <t>Crystallizer</t>
        </is>
      </c>
      <c r="D266" s="4" t="inlineStr">
        <is>
          <t>Water uptake per kg dihydrate</t>
        </is>
      </c>
      <c r="E266" s="4" t="inlineStr">
        <is>
          <t>Δm</t>
        </is>
      </c>
      <c r="F266" s="17" t="n"/>
      <c r="G266" s="17" t="n">
        <v>1.1</v>
      </c>
      <c r="H266" s="17" t="n">
        <v>1.2</v>
      </c>
      <c r="I266" s="4" t="inlineStr">
        <is>
          <t>kg/kg</t>
        </is>
      </c>
      <c r="J266" s="4" t="inlineStr">
        <is>
          <t>estimate-grade</t>
        </is>
      </c>
      <c r="K266" s="4" t="inlineStr">
        <is>
          <t>A3</t>
        </is>
      </c>
      <c r="L266" s="4" t="inlineStr">
        <is>
          <t>vs 0.143 kg/kg for the 40→35 wt% liquid swing</t>
        </is>
      </c>
      <c r="M266" s="4" t="inlineStr">
        <is>
          <t>31 §6</t>
        </is>
      </c>
    </row>
    <row r="267">
      <c r="A267" s="3" t="inlineStr">
        <is>
          <t>UP-030</t>
        </is>
      </c>
      <c r="B267" s="4" t="inlineStr">
        <is>
          <t>Upgrade</t>
        </is>
      </c>
      <c r="C267" s="4" t="inlineStr">
        <is>
          <t>Crystallizer</t>
        </is>
      </c>
      <c r="D267" s="4" t="inlineStr">
        <is>
          <t>Reserve mass reduction</t>
        </is>
      </c>
      <c r="E267" s="4" t="inlineStr">
        <is>
          <t>—</t>
        </is>
      </c>
      <c r="F267" s="17" t="n"/>
      <c r="G267" s="17" t="n">
        <v>3</v>
      </c>
      <c r="H267" s="17" t="n">
        <v>5</v>
      </c>
      <c r="I267" s="4" t="inlineStr">
        <is>
          <t>×</t>
        </is>
      </c>
      <c r="J267" s="4" t="inlineStr">
        <is>
          <t>estimate-grade</t>
        </is>
      </c>
      <c r="K267" s="4" t="inlineStr">
        <is>
          <t>A3</t>
        </is>
      </c>
      <c r="L267" s="4" t="inlineStr">
        <is>
          <t>Occupied-night charge 35–40 kg → 10–15 kg</t>
        </is>
      </c>
      <c r="M267" s="4" t="inlineStr">
        <is>
          <t>31 §6</t>
        </is>
      </c>
    </row>
    <row r="268">
      <c r="A268" s="3" t="inlineStr">
        <is>
          <t>UP-031</t>
        </is>
      </c>
      <c r="B268" s="4" t="inlineStr">
        <is>
          <t>Upgrade</t>
        </is>
      </c>
      <c r="C268" s="4" t="inlineStr">
        <is>
          <t>Crystallizer</t>
        </is>
      </c>
      <c r="D268" s="4" t="inlineStr">
        <is>
          <t>Supercooling without seeding</t>
        </is>
      </c>
      <c r="E268" s="4" t="inlineStr">
        <is>
          <t>ΔT</t>
        </is>
      </c>
      <c r="F268" s="17" t="n"/>
      <c r="G268" s="17" t="n">
        <v>10</v>
      </c>
      <c r="H268" s="17" t="n">
        <v>20</v>
      </c>
      <c r="I268" s="4" t="inlineStr">
        <is>
          <t>K</t>
        </is>
      </c>
      <c r="J268" s="4" t="inlineStr">
        <is>
          <t>reference</t>
        </is>
      </c>
      <c r="K268" s="4" t="inlineStr">
        <is>
          <t>A3</t>
        </is>
      </c>
      <c r="L268" s="4" t="inlineStr">
        <is>
          <t>Crystals never travel — the pot is isolated by a valve pair</t>
        </is>
      </c>
      <c r="M268" s="4" t="inlineStr">
        <is>
          <t>31 §6</t>
        </is>
      </c>
    </row>
    <row r="269">
      <c r="A269" s="3" t="inlineStr">
        <is>
          <t>UP-032</t>
        </is>
      </c>
      <c r="B269" s="4" t="inlineStr">
        <is>
          <t>Upgrade</t>
        </is>
      </c>
      <c r="C269" s="4" t="inlineStr">
        <is>
          <t>PCM</t>
        </is>
      </c>
      <c r="D269" s="4" t="inlineStr">
        <is>
          <t>CaCl₂·6H₂O melting point</t>
        </is>
      </c>
      <c r="E269" s="4" t="inlineStr">
        <is>
          <t>T_m</t>
        </is>
      </c>
      <c r="F269" s="17" t="n"/>
      <c r="G269" s="17" t="n">
        <v>29</v>
      </c>
      <c r="H269" s="17" t="n">
        <v>30</v>
      </c>
      <c r="I269" s="4" t="inlineStr">
        <is>
          <t>°C</t>
        </is>
      </c>
      <c r="J269" s="4" t="inlineStr">
        <is>
          <t>reference</t>
        </is>
      </c>
      <c r="K269" s="4" t="inlineStr"/>
      <c r="L269" s="4" t="inlineStr">
        <is>
          <t>Sits essentially at the sink temperature at DP-A — logged, low priority</t>
        </is>
      </c>
      <c r="M269" s="4" t="inlineStr">
        <is>
          <t>31 §6.2</t>
        </is>
      </c>
    </row>
  </sheetData>
  <autoFilter ref="A4:M269"/>
  <mergeCells count="4">
    <mergeCell ref="C3:E3"/>
    <mergeCell ref="A2:M2"/>
    <mergeCell ref="A1:M1"/>
    <mergeCell ref="F3:I3"/>
  </mergeCells>
  <conditionalFormatting sqref="J5:J269">
    <cfRule type="expression" priority="1" dxfId="0">
      <formula>ISNUMBER(SEARCH("PENDING",$J5))</formula>
    </cfRule>
    <cfRule type="expression" priority="2" dxfId="1">
      <formula>OR($J5="rejected",$J5="superseded",$J5="historical")</formula>
    </cfRule>
    <cfRule type="expression" priority="3" dxfId="2">
      <formula>OR($J5="requirement",$J5="governing")</formula>
    </cfRule>
  </conditionalFormatting>
  <printOptions horizontalCentered="1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60" customWidth="1" min="8" max="8"/>
  </cols>
  <sheetData>
    <row r="1" ht="22" customHeight="1">
      <c r="A1" s="1" t="inlineStr">
        <is>
          <t>Psychrometrics — Magnus formulation</t>
        </is>
      </c>
    </row>
    <row r="2">
      <c r="A2" s="2" t="inlineStr">
        <is>
          <t>The shared basis under every number in the repository. The saturation table below reproduces doc 00 §2; the converter is a working tool for new states.</t>
        </is>
      </c>
    </row>
    <row r="4" ht="16" customHeight="1">
      <c r="A4" s="7" t="inlineStr">
        <is>
          <t>FORMULATION</t>
        </is>
      </c>
      <c r="B4" s="5" t="n"/>
      <c r="C4" s="5" t="n"/>
      <c r="D4" s="5" t="n"/>
      <c r="E4" s="5" t="n"/>
      <c r="F4" s="5" t="n"/>
      <c r="G4" s="5" t="n"/>
      <c r="H4" s="6" t="n"/>
    </row>
    <row r="5">
      <c r="A5" s="3" t="inlineStr">
        <is>
          <t>Saturation pressure</t>
        </is>
      </c>
      <c r="B5" s="4" t="inlineStr">
        <is>
          <t>P_sat(T) = A·exp(B·T/(T+C)) kPa, with A 0.61094, B 17.625, C 243.04 (Alduchov–Eskridge)</t>
        </is>
      </c>
      <c r="C5" s="5" t="n"/>
      <c r="D5" s="5" t="n"/>
      <c r="E5" s="5" t="n"/>
      <c r="F5" s="5" t="n"/>
      <c r="G5" s="5" t="n"/>
      <c r="H5" s="6" t="n"/>
    </row>
    <row r="6">
      <c r="A6" s="3" t="inlineStr">
        <is>
          <t>Humidity ratio</t>
        </is>
      </c>
      <c r="B6" s="4" t="inlineStr">
        <is>
          <t>ω = 0.622·P_v/(P_atm − P_v), kg/kg — reported here in g/kg dry air</t>
        </is>
      </c>
      <c r="C6" s="5" t="n"/>
      <c r="D6" s="5" t="n"/>
      <c r="E6" s="5" t="n"/>
      <c r="F6" s="5" t="n"/>
      <c r="G6" s="5" t="n"/>
      <c r="H6" s="6" t="n"/>
    </row>
    <row r="7">
      <c r="A7" s="3" t="inlineStr">
        <is>
          <t>Dew point</t>
        </is>
      </c>
      <c r="B7" s="4" t="inlineStr">
        <is>
          <t>T_dp = C·ln(P_v/A)/(B − ln(P_v/A))</t>
        </is>
      </c>
      <c r="C7" s="5" t="n"/>
      <c r="D7" s="5" t="n"/>
      <c r="E7" s="5" t="n"/>
      <c r="F7" s="5" t="n"/>
      <c r="G7" s="5" t="n"/>
      <c r="H7" s="6" t="n"/>
    </row>
    <row r="8">
      <c r="A8" s="3" t="inlineStr">
        <is>
          <t>Moist-air enthalpy</t>
        </is>
      </c>
      <c r="B8" s="4" t="inlineStr">
        <is>
          <t>h = 1.006·T + ω·(2501 + 1.86·T) kJ/kg dry air</t>
        </is>
      </c>
      <c r="C8" s="5" t="n"/>
      <c r="D8" s="5" t="n"/>
      <c r="E8" s="5" t="n"/>
      <c r="F8" s="5" t="n"/>
      <c r="G8" s="5" t="n"/>
      <c r="H8" s="6" t="n"/>
    </row>
    <row r="9">
      <c r="A9" s="3" t="inlineStr">
        <is>
          <t>Why it matters</t>
        </is>
      </c>
      <c r="B9" s="4" t="inlineStr">
        <is>
          <t>At DP-A every ambient sink sits at or above the 28.1 °C dew point — a sink-cooled condenser harvests ≈0 water and evaporative cooling cannot pass the dew point. Only a desiccant breaks that floor (doc 00 §3)</t>
        </is>
      </c>
      <c r="C9" s="5" t="n"/>
      <c r="D9" s="5" t="n"/>
      <c r="E9" s="5" t="n"/>
      <c r="F9" s="5" t="n"/>
      <c r="G9" s="5" t="n"/>
      <c r="H9" s="6" t="n"/>
    </row>
    <row r="11" ht="16" customHeight="1">
      <c r="A11" s="7" t="inlineStr">
        <is>
          <t>SATURATION TABLE — validated against doc 00 §2</t>
        </is>
      </c>
      <c r="B11" s="5" t="n"/>
      <c r="C11" s="5" t="n"/>
      <c r="D11" s="5" t="n"/>
      <c r="E11" s="5" t="n"/>
      <c r="F11" s="5" t="n"/>
      <c r="G11" s="5" t="n"/>
      <c r="H11" s="6" t="n"/>
    </row>
    <row r="12">
      <c r="A12" s="15" t="inlineStr">
        <is>
          <t>T (°C)</t>
        </is>
      </c>
      <c r="B12" s="15" t="inlineStr">
        <is>
          <t>P_sat (kPa)</t>
        </is>
      </c>
      <c r="C12" s="15" t="inlineStr">
        <is>
          <t>ω_sat calc (g/kg)</t>
        </is>
      </c>
      <c r="D12" s="15" t="inlineStr">
        <is>
          <t>ω_sat doc 00 (g/kg)</t>
        </is>
      </c>
      <c r="E12" s="15" t="inlineStr">
        <is>
          <t>Δ (%)</t>
        </is>
      </c>
      <c r="F12" s="15" t="inlineStr">
        <is>
          <t>Check</t>
        </is>
      </c>
      <c r="G12" s="15" t="inlineStr"/>
      <c r="H12" s="15" t="inlineStr">
        <is>
          <t>Note</t>
        </is>
      </c>
    </row>
    <row r="13">
      <c r="A13" s="19" t="n">
        <v>20</v>
      </c>
      <c r="B13" s="20">
        <f>(MAG_A*EXP(MAG_B*A13/(A13+MAG_C)))</f>
        <v/>
      </c>
      <c r="C13" s="18">
        <f>1000*RATIO_MW*B13/(P_atm-B13)</f>
        <v/>
      </c>
    </row>
    <row r="14">
      <c r="A14" s="19" t="n">
        <v>21</v>
      </c>
      <c r="B14" s="20">
        <f>(MAG_A*EXP(MAG_B*A14/(A14+MAG_C)))</f>
        <v/>
      </c>
      <c r="C14" s="18">
        <f>1000*RATIO_MW*B14/(P_atm-B14)</f>
        <v/>
      </c>
    </row>
    <row r="15">
      <c r="A15" s="19" t="n">
        <v>22</v>
      </c>
      <c r="B15" s="20">
        <f>(MAG_A*EXP(MAG_B*A15/(A15+MAG_C)))</f>
        <v/>
      </c>
      <c r="C15" s="18">
        <f>1000*RATIO_MW*B15/(P_atm-B15)</f>
        <v/>
      </c>
    </row>
    <row r="16">
      <c r="A16" s="19" t="n">
        <v>23</v>
      </c>
      <c r="B16" s="20">
        <f>(MAG_A*EXP(MAG_B*A16/(A16+MAG_C)))</f>
        <v/>
      </c>
      <c r="C16" s="18">
        <f>1000*RATIO_MW*B16/(P_atm-B16)</f>
        <v/>
      </c>
    </row>
    <row r="17">
      <c r="A17" s="19" t="n">
        <v>24</v>
      </c>
      <c r="B17" s="20">
        <f>(MAG_A*EXP(MAG_B*A17/(A17+MAG_C)))</f>
        <v/>
      </c>
      <c r="C17" s="18">
        <f>1000*RATIO_MW*B17/(P_atm-B17)</f>
        <v/>
      </c>
    </row>
    <row r="18">
      <c r="A18" s="19" t="n">
        <v>25</v>
      </c>
      <c r="B18" s="20">
        <f>(MAG_A*EXP(MAG_B*A18/(A18+MAG_C)))</f>
        <v/>
      </c>
      <c r="C18" s="18">
        <f>1000*RATIO_MW*B18/(P_atm-B18)</f>
        <v/>
      </c>
    </row>
    <row r="19">
      <c r="A19" s="19" t="n">
        <v>26</v>
      </c>
      <c r="B19" s="20">
        <f>(MAG_A*EXP(MAG_B*A19/(A19+MAG_C)))</f>
        <v/>
      </c>
      <c r="C19" s="18">
        <f>1000*RATIO_MW*B19/(P_atm-B19)</f>
        <v/>
      </c>
      <c r="D19" s="21" t="n">
        <v>21.3</v>
      </c>
      <c r="E19" s="22">
        <f>(C19-D19)/D19</f>
        <v/>
      </c>
      <c r="F19" s="23">
        <f>IF(ABS(E19)&lt;=0.01,"OK","REVIEW")</f>
        <v/>
      </c>
    </row>
    <row r="20">
      <c r="A20" s="19" t="n">
        <v>27</v>
      </c>
      <c r="B20" s="20">
        <f>(MAG_A*EXP(MAG_B*A20/(A20+MAG_C)))</f>
        <v/>
      </c>
      <c r="C20" s="18">
        <f>1000*RATIO_MW*B20/(P_atm-B20)</f>
        <v/>
      </c>
      <c r="D20" s="21" t="n">
        <v>22.6</v>
      </c>
      <c r="E20" s="22">
        <f>(C20-D20)/D20</f>
        <v/>
      </c>
      <c r="F20" s="23">
        <f>IF(ABS(E20)&lt;=0.01,"OK","REVIEW")</f>
        <v/>
      </c>
    </row>
    <row r="21">
      <c r="A21" s="19" t="n">
        <v>28</v>
      </c>
      <c r="B21" s="20">
        <f>(MAG_A*EXP(MAG_B*A21/(A21+MAG_C)))</f>
        <v/>
      </c>
      <c r="C21" s="18">
        <f>1000*RATIO_MW*B21/(P_atm-B21)</f>
        <v/>
      </c>
      <c r="D21" s="21" t="n">
        <v>24.1</v>
      </c>
      <c r="E21" s="22">
        <f>(C21-D21)/D21</f>
        <v/>
      </c>
      <c r="F21" s="23">
        <f>IF(ABS(E21)&lt;=0.01,"OK","REVIEW")</f>
        <v/>
      </c>
      <c r="H21" s="2" t="inlineStr">
        <is>
          <t>≈ the DP-A dew point — the floor every ambient sink sits above</t>
        </is>
      </c>
    </row>
    <row r="22">
      <c r="A22" s="19" t="n">
        <v>29</v>
      </c>
      <c r="B22" s="20">
        <f>(MAG_A*EXP(MAG_B*A22/(A22+MAG_C)))</f>
        <v/>
      </c>
      <c r="C22" s="18">
        <f>1000*RATIO_MW*B22/(P_atm-B22)</f>
        <v/>
      </c>
      <c r="D22" s="21" t="n">
        <v>25.6</v>
      </c>
      <c r="E22" s="22">
        <f>(C22-D22)/D22</f>
        <v/>
      </c>
      <c r="F22" s="23">
        <f>IF(ABS(E22)&lt;=0.01,"OK","REVIEW")</f>
        <v/>
      </c>
      <c r="H22" s="2" t="inlineStr">
        <is>
          <t>Saturated working-air exhaust state in the solid balance</t>
        </is>
      </c>
    </row>
    <row r="23">
      <c r="A23" s="19" t="n">
        <v>30</v>
      </c>
      <c r="B23" s="20">
        <f>(MAG_A*EXP(MAG_B*A23/(A23+MAG_C)))</f>
        <v/>
      </c>
      <c r="C23" s="18">
        <f>1000*RATIO_MW*B23/(P_atm-B23)</f>
        <v/>
      </c>
      <c r="D23" s="21" t="n">
        <v>27.1</v>
      </c>
      <c r="E23" s="22">
        <f>(C23-D23)/D23</f>
        <v/>
      </c>
      <c r="F23" s="23">
        <f>IF(ABS(E23)&lt;=0.01,"OK","REVIEW")</f>
        <v/>
      </c>
    </row>
    <row r="24">
      <c r="A24" s="19" t="n">
        <v>31</v>
      </c>
      <c r="B24" s="20">
        <f>(MAG_A*EXP(MAG_B*A24/(A24+MAG_C)))</f>
        <v/>
      </c>
      <c r="C24" s="18">
        <f>1000*RATIO_MW*B24/(P_atm-B24)</f>
        <v/>
      </c>
    </row>
    <row r="25">
      <c r="A25" s="19" t="n">
        <v>32</v>
      </c>
      <c r="B25" s="20">
        <f>(MAG_A*EXP(MAG_B*A25/(A25+MAG_C)))</f>
        <v/>
      </c>
      <c r="C25" s="18">
        <f>1000*RATIO_MW*B25/(P_atm-B25)</f>
        <v/>
      </c>
    </row>
    <row r="26">
      <c r="A26" s="19" t="n">
        <v>33</v>
      </c>
      <c r="B26" s="20">
        <f>(MAG_A*EXP(MAG_B*A26/(A26+MAG_C)))</f>
        <v/>
      </c>
      <c r="C26" s="18">
        <f>1000*RATIO_MW*B26/(P_atm-B26)</f>
        <v/>
      </c>
    </row>
    <row r="27">
      <c r="A27" s="19" t="n">
        <v>34</v>
      </c>
      <c r="B27" s="20">
        <f>(MAG_A*EXP(MAG_B*A27/(A27+MAG_C)))</f>
        <v/>
      </c>
      <c r="C27" s="18">
        <f>1000*RATIO_MW*B27/(P_atm-B27)</f>
        <v/>
      </c>
    </row>
    <row r="28">
      <c r="A28" s="19" t="n">
        <v>35</v>
      </c>
      <c r="B28" s="20">
        <f>(MAG_A*EXP(MAG_B*A28/(A28+MAG_C)))</f>
        <v/>
      </c>
      <c r="C28" s="18">
        <f>1000*RATIO_MW*B28/(P_atm-B28)</f>
        <v/>
      </c>
    </row>
    <row r="29">
      <c r="A29" s="19" t="n">
        <v>36</v>
      </c>
      <c r="B29" s="20">
        <f>(MAG_A*EXP(MAG_B*A29/(A29+MAG_C)))</f>
        <v/>
      </c>
      <c r="C29" s="18">
        <f>1000*RATIO_MW*B29/(P_atm-B29)</f>
        <v/>
      </c>
    </row>
    <row r="30">
      <c r="A30" s="19" t="n">
        <v>37</v>
      </c>
      <c r="B30" s="20">
        <f>(MAG_A*EXP(MAG_B*A30/(A30+MAG_C)))</f>
        <v/>
      </c>
      <c r="C30" s="18">
        <f>1000*RATIO_MW*B30/(P_atm-B30)</f>
        <v/>
      </c>
    </row>
    <row r="31">
      <c r="A31" s="19" t="n">
        <v>38</v>
      </c>
      <c r="B31" s="20">
        <f>(MAG_A*EXP(MAG_B*A31/(A31+MAG_C)))</f>
        <v/>
      </c>
      <c r="C31" s="18">
        <f>1000*RATIO_MW*B31/(P_atm-B31)</f>
        <v/>
      </c>
    </row>
    <row r="32">
      <c r="A32" s="19" t="n">
        <v>39</v>
      </c>
      <c r="B32" s="20">
        <f>(MAG_A*EXP(MAG_B*A32/(A32+MAG_C)))</f>
        <v/>
      </c>
      <c r="C32" s="18">
        <f>1000*RATIO_MW*B32/(P_atm-B32)</f>
        <v/>
      </c>
    </row>
    <row r="33">
      <c r="A33" s="19" t="n">
        <v>40</v>
      </c>
      <c r="B33" s="20">
        <f>(MAG_A*EXP(MAG_B*A33/(A33+MAG_C)))</f>
        <v/>
      </c>
      <c r="C33" s="18">
        <f>1000*RATIO_MW*B33/(P_atm-B33)</f>
        <v/>
      </c>
    </row>
    <row r="35" ht="16" customHeight="1">
      <c r="A35" s="7" t="inlineStr">
        <is>
          <t>STATE CONVERTER — enter any two of T / RH / ω</t>
        </is>
      </c>
      <c r="B35" s="5" t="n"/>
      <c r="C35" s="5" t="n"/>
      <c r="D35" s="5" t="n"/>
      <c r="E35" s="5" t="n"/>
      <c r="F35" s="5" t="n"/>
      <c r="G35" s="5" t="n"/>
      <c r="H35" s="6" t="n"/>
    </row>
    <row r="36">
      <c r="A36" s="15" t="inlineStr">
        <is>
          <t>State</t>
        </is>
      </c>
      <c r="B36" s="15" t="inlineStr">
        <is>
          <t>T (°C)</t>
        </is>
      </c>
      <c r="C36" s="15" t="inlineStr">
        <is>
          <t>RH (—)</t>
        </is>
      </c>
      <c r="D36" s="15" t="inlineStr">
        <is>
          <t>ω (g/kg)</t>
        </is>
      </c>
      <c r="E36" s="15" t="inlineStr">
        <is>
          <t>P_v (kPa)</t>
        </is>
      </c>
      <c r="F36" s="15" t="inlineStr">
        <is>
          <t>T_dp (°C)</t>
        </is>
      </c>
      <c r="G36" s="15" t="inlineStr">
        <is>
          <t>h (kJ/kg)</t>
        </is>
      </c>
      <c r="H36" s="15" t="inlineStr">
        <is>
          <t>Note</t>
        </is>
      </c>
    </row>
    <row r="37">
      <c r="A37" s="3" t="inlineStr">
        <is>
          <t>Ambient DP-A</t>
        </is>
      </c>
      <c r="B37" s="24" t="n">
        <v>32</v>
      </c>
      <c r="C37" s="25" t="n">
        <v>0.8</v>
      </c>
      <c r="D37" s="18">
        <f>1000*RATIO_MW*C37*(MAG_A*EXP(MAG_B*B37/(B37+MAG_C)))/(P_atm-C37*(MAG_A*EXP(MAG_B*B37/(B37+MAG_C))))</f>
        <v/>
      </c>
      <c r="E37" s="20">
        <f>(P_atm*D37/1000/(RATIO_MW+D37/1000))</f>
        <v/>
      </c>
      <c r="F37" s="26">
        <f>(MAG_C*LN((P_atm*D37/1000/(RATIO_MW+D37/1000))/MAG_A)/(MAG_B-LN((P_atm*D37/1000/(RATIO_MW+D37/1000))/MAG_A)))</f>
        <v/>
      </c>
      <c r="G37" s="26">
        <f>(CP_A*B37+D37/1000*(H_FG0+CP_V*B37))</f>
        <v/>
      </c>
      <c r="H37" s="2" t="inlineStr">
        <is>
          <t>Ambient — the governing point</t>
        </is>
      </c>
    </row>
    <row r="38">
      <c r="A38" s="3" t="inlineStr">
        <is>
          <t>Cabin, liquid target</t>
        </is>
      </c>
      <c r="B38" s="24" t="n">
        <v>29</v>
      </c>
      <c r="C38" s="25" t="n">
        <v>0.55</v>
      </c>
      <c r="D38" s="18">
        <f>1000*RATIO_MW*C38*(MAG_A*EXP(MAG_B*B38/(B38+MAG_C)))/(P_atm-C38*(MAG_A*EXP(MAG_B*B38/(B38+MAG_C))))</f>
        <v/>
      </c>
      <c r="E38" s="20">
        <f>(P_atm*D38/1000/(RATIO_MW+D38/1000))</f>
        <v/>
      </c>
      <c r="F38" s="26">
        <f>(MAG_C*LN((P_atm*D38/1000/(RATIO_MW+D38/1000))/MAG_A)/(MAG_B-LN((P_atm*D38/1000/(RATIO_MW+D38/1000))/MAG_A)))</f>
        <v/>
      </c>
      <c r="G38" s="26">
        <f>(CP_A*B38+D38/1000*(H_FG0+CP_V*B38))</f>
        <v/>
      </c>
      <c r="H38" s="2" t="inlineStr">
        <is>
          <t>ω 13.8 g/kg published</t>
        </is>
      </c>
    </row>
    <row r="39">
      <c r="A39" s="3" t="inlineStr">
        <is>
          <t>Cabin, solid steady state</t>
        </is>
      </c>
      <c r="B39" s="24" t="n">
        <v>25</v>
      </c>
      <c r="C39" s="25" t="n">
        <v>0.4</v>
      </c>
      <c r="D39" s="18">
        <f>1000*RATIO_MW*C39*(MAG_A*EXP(MAG_B*B39/(B39+MAG_C)))/(P_atm-C39*(MAG_A*EXP(MAG_B*B39/(B39+MAG_C))))</f>
        <v/>
      </c>
      <c r="E39" s="20">
        <f>(P_atm*D39/1000/(RATIO_MW+D39/1000))</f>
        <v/>
      </c>
      <c r="F39" s="26">
        <f>(MAG_C*LN((P_atm*D39/1000/(RATIO_MW+D39/1000))/MAG_A)/(MAG_B-LN((P_atm*D39/1000/(RATIO_MW+D39/1000))/MAG_A)))</f>
        <v/>
      </c>
      <c r="G39" s="26">
        <f>(CP_A*B39+D39/1000*(H_FG0+CP_V*B39))</f>
        <v/>
      </c>
      <c r="H39" s="2" t="inlineStr">
        <is>
          <t>ω ≈ 9.1 g/kg published</t>
        </is>
      </c>
    </row>
    <row r="40">
      <c r="A40" s="3" t="inlineStr">
        <is>
          <t>Absorber outlet, base brine</t>
        </is>
      </c>
      <c r="B40" s="24" t="n">
        <v>30</v>
      </c>
      <c r="C40" s="18">
        <f>D40/1000*P_atm/(RATIO_MW+D40/1000)/(MAG_A*EXP(MAG_B*B40/(B40+MAG_C)))</f>
        <v/>
      </c>
      <c r="D40" s="18">
        <f>1000*RATIO_MW*AW_40*(MAG_A*EXP(MAG_B*T_BRINE/(T_BRINE+MAG_C)))/(P_atm-AW_40*(MAG_A*EXP(MAG_B*T_BRINE/(T_BRINE+MAG_C))))</f>
        <v/>
      </c>
      <c r="E40" s="20">
        <f>(P_atm*D40/1000/(RATIO_MW+D40/1000))</f>
        <v/>
      </c>
      <c r="F40" s="26">
        <f>(MAG_C*LN((P_atm*D40/1000/(RATIO_MW+D40/1000))/MAG_A)/(MAG_B-LN((P_atm*D40/1000/(RATIO_MW+D40/1000))/MAG_A)))</f>
        <v/>
      </c>
      <c r="G40" s="26">
        <f>(CP_A*B40+D40/1000*(H_FG0+CP_V*B40))</f>
        <v/>
      </c>
      <c r="H40" s="2" t="inlineStr">
        <is>
          <t>Floor set by sump concentration, not per-pass approach</t>
        </is>
      </c>
    </row>
    <row r="41">
      <c r="A41" s="3" t="inlineStr">
        <is>
          <t>Absorber outlet, hot-regen brine</t>
        </is>
      </c>
      <c r="B41" s="24" t="n">
        <v>30</v>
      </c>
      <c r="C41" s="18">
        <f>D41/1000*P_atm/(RATIO_MW+D41/1000)/(MAG_A*EXP(MAG_B*B41/(B41+MAG_C)))</f>
        <v/>
      </c>
      <c r="D41" s="18">
        <f>1000*RATIO_MW*AW_44*(MAG_A*EXP(MAG_B*T_BRINE/(T_BRINE+MAG_C)))/(P_atm-AW_44*(MAG_A*EXP(MAG_B*T_BRINE/(T_BRINE+MAG_C))))</f>
        <v/>
      </c>
      <c r="E41" s="20">
        <f>(P_atm*D41/1000/(RATIO_MW+D41/1000))</f>
        <v/>
      </c>
      <c r="F41" s="26">
        <f>(MAG_C*LN((P_atm*D41/1000/(RATIO_MW+D41/1000))/MAG_A)/(MAG_B-LN((P_atm*D41/1000/(RATIO_MW+D41/1000))/MAG_A)))</f>
        <v/>
      </c>
      <c r="G41" s="26">
        <f>(CP_A*B41+D41/1000*(H_FG0+CP_V*B41))</f>
        <v/>
      </c>
      <c r="H41" s="2" t="inlineStr">
        <is>
          <t>43–44 wt%, aw 0.34</t>
        </is>
      </c>
    </row>
    <row r="42">
      <c r="A42" s="3" t="inlineStr">
        <is>
          <t>ERV-dried fresh air</t>
        </is>
      </c>
      <c r="B42" s="24" t="n">
        <v>31</v>
      </c>
      <c r="C42" s="18">
        <f>D42/1000*P_atm/(RATIO_MW+D42/1000)/(MAG_A*EXP(MAG_B*B42/(B42+MAG_C)))</f>
        <v/>
      </c>
      <c r="D42" s="18">
        <f>W_ERV</f>
        <v/>
      </c>
      <c r="E42" s="20">
        <f>(P_atm*D42/1000/(RATIO_MW+D42/1000))</f>
        <v/>
      </c>
      <c r="F42" s="26">
        <f>(MAG_C*LN((P_atm*D42/1000/(RATIO_MW+D42/1000))/MAG_A)/(MAG_B-LN((P_atm*D42/1000/(RATIO_MW+D42/1000))/MAG_A)))</f>
        <v/>
      </c>
      <c r="G42" s="26">
        <f>(CP_A*B42+D42/1000*(H_FG0+CP_V*B42))</f>
        <v/>
      </c>
      <c r="H42" s="2" t="inlineStr">
        <is>
          <t>Pre-dried from ambient at ε_lat</t>
        </is>
      </c>
    </row>
    <row r="43">
      <c r="A43" s="3" t="inlineStr">
        <is>
          <t>Solid supply air</t>
        </is>
      </c>
      <c r="B43" s="24" t="n">
        <v>17.5</v>
      </c>
      <c r="C43" s="18">
        <f>D43/1000*P_atm/(RATIO_MW+D43/1000)/(MAG_A*EXP(MAG_B*B43/(B43+MAG_C)))</f>
        <v/>
      </c>
      <c r="D43" s="18">
        <f>W_SUP_S</f>
        <v/>
      </c>
      <c r="E43" s="20">
        <f>(P_atm*D43/1000/(RATIO_MW+D43/1000))</f>
        <v/>
      </c>
      <c r="F43" s="26">
        <f>(MAG_C*LN((P_atm*D43/1000/(RATIO_MW+D43/1000))/MAG_A)/(MAG_B-LN((P_atm*D43/1000/(RATIO_MW+D43/1000))/MAG_A)))</f>
        <v/>
      </c>
      <c r="G43" s="26">
        <f>(CP_A*B43+D43/1000*(H_FG0+CP_V*B43))</f>
        <v/>
      </c>
      <c r="H43" s="2" t="inlineStr">
        <is>
          <t>M-cycle product on dried air</t>
        </is>
      </c>
    </row>
    <row r="44">
      <c r="A44" s="3" t="inlineStr">
        <is>
          <t>Working exhaust (saturated)</t>
        </is>
      </c>
      <c r="B44" s="24" t="n">
        <v>29</v>
      </c>
      <c r="C44" s="25" t="n">
        <v>1</v>
      </c>
      <c r="D44" s="18">
        <f>1000*RATIO_MW*C44*(MAG_A*EXP(MAG_B*B44/(B44+MAG_C)))/(P_atm-C44*(MAG_A*EXP(MAG_B*B44/(B44+MAG_C))))</f>
        <v/>
      </c>
      <c r="E44" s="20">
        <f>(P_atm*D44/1000/(RATIO_MW+D44/1000))</f>
        <v/>
      </c>
      <c r="F44" s="26">
        <f>(MAG_C*LN((P_atm*D44/1000/(RATIO_MW+D44/1000))/MAG_A)/(MAG_B-LN((P_atm*D44/1000/(RATIO_MW+D44/1000))/MAG_A)))</f>
        <v/>
      </c>
      <c r="G44" s="26">
        <f>(CP_A*B44+D44/1000*(H_FG0+CP_V*B44))</f>
        <v/>
      </c>
      <c r="H44" s="2" t="inlineStr">
        <is>
          <t>Recycled in X8 mode, never vented</t>
        </is>
      </c>
    </row>
    <row r="46" ht="16" customHeight="1">
      <c r="A46" s="7" t="inlineStr">
        <is>
          <t>BRINE FLOOR MATRIX — ω_out = f(aw, brine T)   [PENDING test A]</t>
        </is>
      </c>
      <c r="B46" s="5" t="n"/>
      <c r="C46" s="5" t="n"/>
      <c r="D46" s="5" t="n"/>
      <c r="E46" s="5" t="n"/>
      <c r="F46" s="5" t="n"/>
      <c r="G46" s="5" t="n"/>
      <c r="H46" s="6" t="n"/>
    </row>
    <row r="47">
      <c r="A47" s="15" t="inlineStr">
        <is>
          <t>Brine T (°C) ↓ / aw →</t>
        </is>
      </c>
      <c r="B47" s="15" t="n">
        <v>0.33</v>
      </c>
      <c r="C47" s="15" t="n">
        <v>0.34</v>
      </c>
      <c r="D47" s="15" t="n">
        <v>0.4</v>
      </c>
      <c r="E47" s="15" t="n">
        <v>0.45</v>
      </c>
      <c r="F47" s="15" t="n">
        <v>0.5</v>
      </c>
      <c r="G47" s="15" t="inlineStr">
        <is>
          <t>Published anchor</t>
        </is>
      </c>
    </row>
    <row r="48">
      <c r="A48" s="19" t="n">
        <v>27</v>
      </c>
      <c r="B48" s="26">
        <f>1000*RATIO_MW*0.33*(MAG_A*EXP(MAG_B*$A48/($A48+MAG_C)))/(P_atm-0.33*(MAG_A*EXP(MAG_B*$A48/($A48+MAG_C))))</f>
        <v/>
      </c>
      <c r="C48" s="26">
        <f>1000*RATIO_MW*0.34*(MAG_A*EXP(MAG_B*$A48/($A48+MAG_C)))/(P_atm-0.34*(MAG_A*EXP(MAG_B*$A48/($A48+MAG_C))))</f>
        <v/>
      </c>
      <c r="D48" s="26">
        <f>1000*RATIO_MW*0.4*(MAG_A*EXP(MAG_B*$A48/($A48+MAG_C)))/(P_atm-0.4*(MAG_A*EXP(MAG_B*$A48/($A48+MAG_C))))</f>
        <v/>
      </c>
      <c r="E48" s="26">
        <f>1000*RATIO_MW*0.45*(MAG_A*EXP(MAG_B*$A48/($A48+MAG_C)))/(P_atm-0.45*(MAG_A*EXP(MAG_B*$A48/($A48+MAG_C))))</f>
        <v/>
      </c>
      <c r="F48" s="26">
        <f>1000*RATIO_MW*0.5*(MAG_A*EXP(MAG_B*$A48/($A48+MAG_C)))/(P_atm-0.5*(MAG_A*EXP(MAG_B*$A48/($A48+MAG_C))))</f>
        <v/>
      </c>
      <c r="G48" s="2" t="inlineStr">
        <is>
          <t>10.0 @ aw 0.45 · 7.5 @ aw 0.34</t>
        </is>
      </c>
    </row>
    <row r="49">
      <c r="A49" s="19" t="n">
        <v>28</v>
      </c>
      <c r="B49" s="26">
        <f>1000*RATIO_MW*0.33*(MAG_A*EXP(MAG_B*$A49/($A49+MAG_C)))/(P_atm-0.33*(MAG_A*EXP(MAG_B*$A49/($A49+MAG_C))))</f>
        <v/>
      </c>
      <c r="C49" s="26">
        <f>1000*RATIO_MW*0.34*(MAG_A*EXP(MAG_B*$A49/($A49+MAG_C)))/(P_atm-0.34*(MAG_A*EXP(MAG_B*$A49/($A49+MAG_C))))</f>
        <v/>
      </c>
      <c r="D49" s="26">
        <f>1000*RATIO_MW*0.4*(MAG_A*EXP(MAG_B*$A49/($A49+MAG_C)))/(P_atm-0.4*(MAG_A*EXP(MAG_B*$A49/($A49+MAG_C))))</f>
        <v/>
      </c>
      <c r="E49" s="26">
        <f>1000*RATIO_MW*0.45*(MAG_A*EXP(MAG_B*$A49/($A49+MAG_C)))/(P_atm-0.45*(MAG_A*EXP(MAG_B*$A49/($A49+MAG_C))))</f>
        <v/>
      </c>
      <c r="F49" s="26">
        <f>1000*RATIO_MW*0.5*(MAG_A*EXP(MAG_B*$A49/($A49+MAG_C)))/(P_atm-0.5*(MAG_A*EXP(MAG_B*$A49/($A49+MAG_C))))</f>
        <v/>
      </c>
      <c r="G49" s="2" t="inlineStr"/>
    </row>
    <row r="50">
      <c r="A50" s="19" t="n">
        <v>29</v>
      </c>
      <c r="B50" s="26">
        <f>1000*RATIO_MW*0.33*(MAG_A*EXP(MAG_B*$A50/($A50+MAG_C)))/(P_atm-0.33*(MAG_A*EXP(MAG_B*$A50/($A50+MAG_C))))</f>
        <v/>
      </c>
      <c r="C50" s="26">
        <f>1000*RATIO_MW*0.34*(MAG_A*EXP(MAG_B*$A50/($A50+MAG_C)))/(P_atm-0.34*(MAG_A*EXP(MAG_B*$A50/($A50+MAG_C))))</f>
        <v/>
      </c>
      <c r="D50" s="26">
        <f>1000*RATIO_MW*0.4*(MAG_A*EXP(MAG_B*$A50/($A50+MAG_C)))/(P_atm-0.4*(MAG_A*EXP(MAG_B*$A50/($A50+MAG_C))))</f>
        <v/>
      </c>
      <c r="E50" s="26">
        <f>1000*RATIO_MW*0.45*(MAG_A*EXP(MAG_B*$A50/($A50+MAG_C)))/(P_atm-0.45*(MAG_A*EXP(MAG_B*$A50/($A50+MAG_C))))</f>
        <v/>
      </c>
      <c r="F50" s="26">
        <f>1000*RATIO_MW*0.5*(MAG_A*EXP(MAG_B*$A50/($A50+MAG_C)))/(P_atm-0.5*(MAG_A*EXP(MAG_B*$A50/($A50+MAG_C))))</f>
        <v/>
      </c>
      <c r="G50" s="2" t="inlineStr"/>
    </row>
    <row r="51">
      <c r="A51" s="19" t="n">
        <v>30</v>
      </c>
      <c r="B51" s="26">
        <f>1000*RATIO_MW*0.33*(MAG_A*EXP(MAG_B*$A51/($A51+MAG_C)))/(P_atm-0.33*(MAG_A*EXP(MAG_B*$A51/($A51+MAG_C))))</f>
        <v/>
      </c>
      <c r="C51" s="26">
        <f>1000*RATIO_MW*0.34*(MAG_A*EXP(MAG_B*$A51/($A51+MAG_C)))/(P_atm-0.34*(MAG_A*EXP(MAG_B*$A51/($A51+MAG_C))))</f>
        <v/>
      </c>
      <c r="D51" s="26">
        <f>1000*RATIO_MW*0.4*(MAG_A*EXP(MAG_B*$A51/($A51+MAG_C)))/(P_atm-0.4*(MAG_A*EXP(MAG_B*$A51/($A51+MAG_C))))</f>
        <v/>
      </c>
      <c r="E51" s="26">
        <f>1000*RATIO_MW*0.45*(MAG_A*EXP(MAG_B*$A51/($A51+MAG_C)))/(P_atm-0.45*(MAG_A*EXP(MAG_B*$A51/($A51+MAG_C))))</f>
        <v/>
      </c>
      <c r="F51" s="26">
        <f>1000*RATIO_MW*0.5*(MAG_A*EXP(MAG_B*$A51/($A51+MAG_C)))/(P_atm-0.5*(MAG_A*EXP(MAG_B*$A51/($A51+MAG_C))))</f>
        <v/>
      </c>
      <c r="G51" s="2" t="inlineStr">
        <is>
          <t>11.9 @ aw 0.45 · 9.0 @ aw 0.34</t>
        </is>
      </c>
    </row>
    <row r="52">
      <c r="A52" s="19" t="n">
        <v>31</v>
      </c>
      <c r="B52" s="26">
        <f>1000*RATIO_MW*0.33*(MAG_A*EXP(MAG_B*$A52/($A52+MAG_C)))/(P_atm-0.33*(MAG_A*EXP(MAG_B*$A52/($A52+MAG_C))))</f>
        <v/>
      </c>
      <c r="C52" s="26">
        <f>1000*RATIO_MW*0.34*(MAG_A*EXP(MAG_B*$A52/($A52+MAG_C)))/(P_atm-0.34*(MAG_A*EXP(MAG_B*$A52/($A52+MAG_C))))</f>
        <v/>
      </c>
      <c r="D52" s="26">
        <f>1000*RATIO_MW*0.4*(MAG_A*EXP(MAG_B*$A52/($A52+MAG_C)))/(P_atm-0.4*(MAG_A*EXP(MAG_B*$A52/($A52+MAG_C))))</f>
        <v/>
      </c>
      <c r="E52" s="26">
        <f>1000*RATIO_MW*0.45*(MAG_A*EXP(MAG_B*$A52/($A52+MAG_C)))/(P_atm-0.45*(MAG_A*EXP(MAG_B*$A52/($A52+MAG_C))))</f>
        <v/>
      </c>
      <c r="F52" s="26">
        <f>1000*RATIO_MW*0.5*(MAG_A*EXP(MAG_B*$A52/($A52+MAG_C)))/(P_atm-0.5*(MAG_A*EXP(MAG_B*$A52/($A52+MAG_C))))</f>
        <v/>
      </c>
      <c r="G52" s="2" t="inlineStr"/>
    </row>
    <row r="53">
      <c r="A53" s="19" t="n">
        <v>32</v>
      </c>
      <c r="B53" s="26">
        <f>1000*RATIO_MW*0.33*(MAG_A*EXP(MAG_B*$A53/($A53+MAG_C)))/(P_atm-0.33*(MAG_A*EXP(MAG_B*$A53/($A53+MAG_C))))</f>
        <v/>
      </c>
      <c r="C53" s="26">
        <f>1000*RATIO_MW*0.34*(MAG_A*EXP(MAG_B*$A53/($A53+MAG_C)))/(P_atm-0.34*(MAG_A*EXP(MAG_B*$A53/($A53+MAG_C))))</f>
        <v/>
      </c>
      <c r="D53" s="26">
        <f>1000*RATIO_MW*0.4*(MAG_A*EXP(MAG_B*$A53/($A53+MAG_C)))/(P_atm-0.4*(MAG_A*EXP(MAG_B*$A53/($A53+MAG_C))))</f>
        <v/>
      </c>
      <c r="E53" s="26">
        <f>1000*RATIO_MW*0.45*(MAG_A*EXP(MAG_B*$A53/($A53+MAG_C)))/(P_atm-0.45*(MAG_A*EXP(MAG_B*$A53/($A53+MAG_C))))</f>
        <v/>
      </c>
      <c r="F53" s="26">
        <f>1000*RATIO_MW*0.5*(MAG_A*EXP(MAG_B*$A53/($A53+MAG_C)))/(P_atm-0.5*(MAG_A*EXP(MAG_B*$A53/($A53+MAG_C))))</f>
        <v/>
      </c>
      <c r="G53" s="2" t="inlineStr"/>
    </row>
    <row r="54">
      <c r="A54" s="19" t="n">
        <v>33</v>
      </c>
      <c r="B54" s="26">
        <f>1000*RATIO_MW*0.33*(MAG_A*EXP(MAG_B*$A54/($A54+MAG_C)))/(P_atm-0.33*(MAG_A*EXP(MAG_B*$A54/($A54+MAG_C))))</f>
        <v/>
      </c>
      <c r="C54" s="26">
        <f>1000*RATIO_MW*0.34*(MAG_A*EXP(MAG_B*$A54/($A54+MAG_C)))/(P_atm-0.34*(MAG_A*EXP(MAG_B*$A54/($A54+MAG_C))))</f>
        <v/>
      </c>
      <c r="D54" s="26">
        <f>1000*RATIO_MW*0.4*(MAG_A*EXP(MAG_B*$A54/($A54+MAG_C)))/(P_atm-0.4*(MAG_A*EXP(MAG_B*$A54/($A54+MAG_C))))</f>
        <v/>
      </c>
      <c r="E54" s="26">
        <f>1000*RATIO_MW*0.45*(MAG_A*EXP(MAG_B*$A54/($A54+MAG_C)))/(P_atm-0.45*(MAG_A*EXP(MAG_B*$A54/($A54+MAG_C))))</f>
        <v/>
      </c>
      <c r="F54" s="26">
        <f>1000*RATIO_MW*0.5*(MAG_A*EXP(MAG_B*$A54/($A54+MAG_C)))/(P_atm-0.5*(MAG_A*EXP(MAG_B*$A54/($A54+MAG_C))))</f>
        <v/>
      </c>
      <c r="G54" s="2" t="inlineStr">
        <is>
          <t>14.2 @ aw 0.45</t>
        </is>
      </c>
    </row>
    <row r="55">
      <c r="A55" s="2" t="inlineStr">
        <is>
          <t>Published floors are 'sizing-grade, PENDING test A'. Published data carries ±0.05 aw, which is ±1.5–3 g/kg on the floor — the largest single unknown in the liquid track (doc 12 §3). Cooling leverage 0.5–0.7 g/kg per K of brine cooling is the slope of each column.</t>
        </is>
      </c>
    </row>
    <row r="56"/>
  </sheetData>
  <mergeCells count="12">
    <mergeCell ref="A4:H4"/>
    <mergeCell ref="B8:H8"/>
    <mergeCell ref="B9:H9"/>
    <mergeCell ref="A35:H35"/>
    <mergeCell ref="A55:H56"/>
    <mergeCell ref="A2:H2"/>
    <mergeCell ref="B6:H6"/>
    <mergeCell ref="A11:H11"/>
    <mergeCell ref="B7:H7"/>
    <mergeCell ref="A1:H1"/>
    <mergeCell ref="A46:H46"/>
    <mergeCell ref="B5:H5"/>
  </mergeCells>
  <conditionalFormatting sqref="F19">
    <cfRule type="cellIs" priority="1" operator="equal" dxfId="2">
      <formula>"OK"</formula>
    </cfRule>
    <cfRule type="cellIs" priority="2" operator="equal" dxfId="3">
      <formula>"REVIEW"</formula>
    </cfRule>
  </conditionalFormatting>
  <conditionalFormatting sqref="F20">
    <cfRule type="cellIs" priority="3" operator="equal" dxfId="2">
      <formula>"OK"</formula>
    </cfRule>
    <cfRule type="cellIs" priority="4" operator="equal" dxfId="3">
      <formula>"REVIEW"</formula>
    </cfRule>
  </conditionalFormatting>
  <conditionalFormatting sqref="F21">
    <cfRule type="cellIs" priority="5" operator="equal" dxfId="2">
      <formula>"OK"</formula>
    </cfRule>
    <cfRule type="cellIs" priority="6" operator="equal" dxfId="3">
      <formula>"REVIEW"</formula>
    </cfRule>
  </conditionalFormatting>
  <conditionalFormatting sqref="F22">
    <cfRule type="cellIs" priority="7" operator="equal" dxfId="2">
      <formula>"OK"</formula>
    </cfRule>
    <cfRule type="cellIs" priority="8" operator="equal" dxfId="3">
      <formula>"REVIEW"</formula>
    </cfRule>
  </conditionalFormatting>
  <conditionalFormatting sqref="F23">
    <cfRule type="cellIs" priority="9" operator="equal" dxfId="2">
      <formula>"OK"</formula>
    </cfRule>
    <cfRule type="cellIs" priority="10" operator="equal" dxfId="3">
      <formula>"REVIEW"</formula>
    </cfRule>
  </conditionalFormatting>
  <printOptions horizontalCentered="1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I5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3" customWidth="1" min="7" max="7"/>
    <col width="13" customWidth="1" min="8" max="8"/>
    <col width="58" customWidth="1" min="9" max="9"/>
  </cols>
  <sheetData>
    <row r="1" ht="22" customHeight="1">
      <c r="A1" s="1" t="inlineStr">
        <is>
          <t>The generalized airflow–moisture model (doc 00 §4)</t>
        </is>
      </c>
    </row>
    <row r="2">
      <c r="A2" s="2" t="inlineStr">
        <is>
          <t>The closed steady state that replaced the hand-chained state tables — the origin of finding F1 and the 9–11 kg/h solid-track duty. Solved live for three working-air topologies.</t>
        </is>
      </c>
    </row>
    <row r="4" ht="16" customHeight="1">
      <c r="A4" s="7" t="inlineStr">
        <is>
          <t>THE SIX EQUATIONS (doc 00 §4)</t>
        </is>
      </c>
      <c r="B4" s="5" t="n"/>
      <c r="C4" s="5" t="n"/>
      <c r="D4" s="5" t="n"/>
      <c r="E4" s="5" t="n"/>
      <c r="F4" s="5" t="n"/>
      <c r="G4" s="5" t="n"/>
      <c r="H4" s="5" t="n"/>
      <c r="I4" s="6" t="n"/>
    </row>
    <row r="5">
      <c r="A5" s="3" t="inlineStr">
        <is>
          <t>Equation 1</t>
        </is>
      </c>
      <c r="B5" s="4" t="inlineStr">
        <is>
          <t>ω_cab = ω_sup + latent_gains / S                        (cabin steady state)</t>
        </is>
      </c>
      <c r="C5" s="5" t="n"/>
      <c r="D5" s="5" t="n"/>
      <c r="E5" s="5" t="n"/>
      <c r="F5" s="5" t="n"/>
      <c r="G5" s="5" t="n"/>
      <c r="H5" s="5" t="n"/>
      <c r="I5" s="6" t="n"/>
    </row>
    <row r="6">
      <c r="A6" s="3" t="inlineStr">
        <is>
          <t>Equation 2</t>
        </is>
      </c>
      <c r="B6" s="4" t="inlineStr">
        <is>
          <t>T_sup = T_in − ε_dp·(T_in − T_dp(ω_work))               (M-cycle on dried air)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3" t="inlineStr">
        <is>
          <t>Equation 3</t>
        </is>
      </c>
      <c r="B7" s="4" t="inlineStr">
        <is>
          <t>S = Q_sens / (c_p·(T_cab − T_sup))                      (supply flow closes the sensible load)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3" t="inlineStr">
        <is>
          <t>Equation 4</t>
        </is>
      </c>
      <c r="B8" s="4" t="inlineStr">
        <is>
          <t>Q_wet = S·c_p·(T_in − T_sup)                            (heat dumped into the wet channel)</t>
        </is>
      </c>
      <c r="C8" s="5" t="n"/>
      <c r="D8" s="5" t="n"/>
      <c r="E8" s="5" t="n"/>
      <c r="F8" s="5" t="n"/>
      <c r="G8" s="5" t="n"/>
      <c r="H8" s="5" t="n"/>
      <c r="I8" s="6" t="n"/>
    </row>
    <row r="9">
      <c r="A9" s="3" t="inlineStr">
        <is>
          <t>Equation 5</t>
        </is>
      </c>
      <c r="B9" s="4" t="inlineStr">
        <is>
          <t>M = Q_wet / Δh_work,  Δh_work = h_sat(T_exh) − h(entry) (working-air flow)</t>
        </is>
      </c>
      <c r="C9" s="5" t="n"/>
      <c r="D9" s="5" t="n"/>
      <c r="E9" s="5" t="n"/>
      <c r="F9" s="5" t="n"/>
      <c r="G9" s="5" t="n"/>
      <c r="H9" s="5" t="n"/>
      <c r="I9" s="6" t="n"/>
    </row>
    <row r="10">
      <c r="A10" s="3" t="inlineStr">
        <is>
          <t>Equation 6</t>
        </is>
      </c>
      <c r="B10" s="4" t="inlineStr">
        <is>
          <t>duty = (S − M)(ω_cab − ω_sup) + M(ω_amb − ω_sup)        (sorbent duty)</t>
        </is>
      </c>
      <c r="C10" s="5" t="n"/>
      <c r="D10" s="5" t="n"/>
      <c r="E10" s="5" t="n"/>
      <c r="F10" s="5" t="n"/>
      <c r="G10" s="5" t="n"/>
      <c r="H10" s="5" t="n"/>
      <c r="I10" s="6" t="n"/>
    </row>
    <row r="11">
      <c r="A11" s="3" t="inlineStr">
        <is>
          <t>Why it matters</t>
        </is>
      </c>
      <c r="B11" s="4" t="inlineStr">
        <is>
          <t>Omitting the M-cycle working-air moisture term under-sizes the desiccant 3–5×. At DP-A the 29 °C sink cannot absorb heat from a 25 °C cabin, so ALL cabin sensible load leaves evaporatively — and that moisture must pass through the desiccant. This is finding F1.</t>
        </is>
      </c>
      <c r="C11" s="8" t="n"/>
      <c r="D11" s="8" t="n"/>
      <c r="E11" s="8" t="n"/>
      <c r="F11" s="8" t="n"/>
      <c r="G11" s="8" t="n"/>
      <c r="H11" s="8" t="n"/>
      <c r="I11" s="9" t="n"/>
    </row>
    <row r="12">
      <c r="B12" s="12" t="n"/>
      <c r="C12" s="13" t="n"/>
      <c r="D12" s="13" t="n"/>
      <c r="E12" s="13" t="n"/>
      <c r="F12" s="13" t="n"/>
      <c r="G12" s="13" t="n"/>
      <c r="H12" s="13" t="n"/>
      <c r="I12" s="14" t="n"/>
    </row>
    <row r="14" ht="16" customHeight="1">
      <c r="A14" s="7" t="inlineStr">
        <is>
          <t>INPUTS</t>
        </is>
      </c>
      <c r="B14" s="5" t="n"/>
      <c r="C14" s="5" t="n"/>
      <c r="D14" s="5" t="n"/>
      <c r="E14" s="5" t="n"/>
      <c r="F14" s="5" t="n"/>
      <c r="G14" s="5" t="n"/>
      <c r="H14" s="5" t="n"/>
      <c r="I14" s="6" t="n"/>
    </row>
    <row r="15">
      <c r="A15" s="3" t="inlineStr">
        <is>
          <t>Sensible load Q_sens</t>
        </is>
      </c>
      <c r="B15" s="20">
        <f>Q_SENS</f>
        <v/>
      </c>
      <c r="C15" s="4" t="inlineStr">
        <is>
          <t>kW</t>
        </is>
      </c>
      <c r="D15" s="2" t="inlineStr">
        <is>
          <t>Doc 20 §1, peak sun</t>
        </is>
      </c>
    </row>
    <row r="16">
      <c r="A16" s="3" t="inlineStr">
        <is>
          <t>Latent gains</t>
        </is>
      </c>
      <c r="B16" s="20">
        <f>G_LAT/1000</f>
        <v/>
      </c>
      <c r="C16" s="4" t="inlineStr">
        <is>
          <t>kg/h</t>
        </is>
      </c>
      <c r="D16" s="2" t="inlineStr">
        <is>
          <t>Occupants + envelope; doc 20 uses 2.0 kg/h total incl. envelope</t>
        </is>
      </c>
    </row>
    <row r="17">
      <c r="A17" s="3" t="inlineStr">
        <is>
          <t>Envelope + occupant latent (doc 20 basis)</t>
        </is>
      </c>
      <c r="B17" s="27" t="n">
        <v>2</v>
      </c>
      <c r="C17" s="4" t="inlineStr">
        <is>
          <t>kg/h</t>
        </is>
      </c>
      <c r="D17" s="2" t="inlineStr">
        <is>
          <t>The value doc 20 §5 actually solves with</t>
        </is>
      </c>
    </row>
    <row r="18">
      <c r="A18" s="3" t="inlineStr">
        <is>
          <t>Supply humidity ratio ω_sup</t>
        </is>
      </c>
      <c r="B18" s="20">
        <f>W_SUP_S</f>
        <v/>
      </c>
      <c r="C18" s="4" t="inlineStr">
        <is>
          <t>g/kg</t>
        </is>
      </c>
      <c r="D18" s="2" t="inlineStr">
        <is>
          <t>AlFu back-end — the model's only sorbent input</t>
        </is>
      </c>
    </row>
    <row r="19">
      <c r="A19" s="3" t="inlineStr">
        <is>
          <t>Intake temperature T_in</t>
        </is>
      </c>
      <c r="B19" s="27" t="n">
        <v>31</v>
      </c>
      <c r="C19" s="4" t="inlineStr">
        <is>
          <t>°C</t>
        </is>
      </c>
      <c r="D19" s="2" t="inlineStr">
        <is>
          <t>Post-ERV fresh / mixed state entering the desiccant</t>
        </is>
      </c>
    </row>
    <row r="20">
      <c r="A20" s="3" t="inlineStr">
        <is>
          <t>Cabin temperature T_cab</t>
        </is>
      </c>
      <c r="B20" s="20">
        <f>T_CAB_S</f>
        <v/>
      </c>
      <c r="C20" s="4" t="inlineStr">
        <is>
          <t>°C</t>
        </is>
      </c>
      <c r="D20" s="2" t="inlineStr">
        <is>
          <t>Solid-track target</t>
        </is>
      </c>
    </row>
    <row r="21">
      <c r="A21" s="3" t="inlineStr">
        <is>
          <t>M-cycle effectiveness ε_dp</t>
        </is>
      </c>
      <c r="B21" s="20">
        <f>EPS_DP</f>
        <v/>
      </c>
      <c r="C21" s="4" t="inlineStr">
        <is>
          <t>—</t>
        </is>
      </c>
      <c r="D21" s="2" t="inlineStr"/>
    </row>
    <row r="22">
      <c r="A22" s="3" t="inlineStr">
        <is>
          <t>Working exhaust temperature</t>
        </is>
      </c>
      <c r="B22" s="20">
        <f>T_sink</f>
        <v/>
      </c>
      <c r="C22" s="4" t="inlineStr">
        <is>
          <t>°C</t>
        </is>
      </c>
      <c r="D22" s="2" t="inlineStr">
        <is>
          <t>Saturated at the sink</t>
        </is>
      </c>
    </row>
    <row r="23">
      <c r="A23" s="3" t="inlineStr">
        <is>
          <t>Ambient ω</t>
        </is>
      </c>
      <c r="B23" s="20">
        <f>W_AMB</f>
        <v/>
      </c>
      <c r="C23" s="4" t="inlineStr">
        <is>
          <t>g/kg</t>
        </is>
      </c>
      <c r="D23" s="2" t="inlineStr">
        <is>
          <t>DP-A</t>
        </is>
      </c>
    </row>
    <row r="25" ht="16" customHeight="1">
      <c r="A25" s="7" t="inlineStr">
        <is>
          <t>SOLUTION BY TOPOLOGY — the working air's entry state is the design choice</t>
        </is>
      </c>
      <c r="B25" s="5" t="n"/>
      <c r="C25" s="5" t="n"/>
      <c r="D25" s="5" t="n"/>
      <c r="E25" s="5" t="n"/>
      <c r="F25" s="5" t="n"/>
      <c r="G25" s="5" t="n"/>
      <c r="H25" s="5" t="n"/>
      <c r="I25" s="6" t="n"/>
    </row>
    <row r="26" ht="40" customHeight="1">
      <c r="A26" s="15" t="inlineStr">
        <is>
          <t>Quantity</t>
        </is>
      </c>
      <c r="B26" s="15" t="inlineStr">
        <is>
          <t>Dry-draw
(post-desiccant)</t>
        </is>
      </c>
      <c r="C26" s="15" t="inlineStr">
        <is>
          <t>Cabin-draw
(open cycle)</t>
        </is>
      </c>
      <c r="D26" s="15" t="inlineStr">
        <is>
          <t>X8 closed loop
(recycled exhaust)</t>
        </is>
      </c>
      <c r="E26" s="15" t="inlineStr">
        <is>
          <t>Unit</t>
        </is>
      </c>
      <c r="F26" s="15" t="inlineStr">
        <is>
          <t>Published
(doc 20 §5)</t>
        </is>
      </c>
      <c r="G26" s="15" t="inlineStr">
        <is>
          <t>Δ vs published</t>
        </is>
      </c>
      <c r="H26" s="15" t="inlineStr">
        <is>
          <t>Check</t>
        </is>
      </c>
      <c r="I26" s="15" t="inlineStr">
        <is>
          <t>Note</t>
        </is>
      </c>
    </row>
    <row r="27">
      <c r="A27" s="3" t="inlineStr">
        <is>
          <t>Working-air entry ω</t>
        </is>
      </c>
      <c r="B27" s="20">
        <f>B18</f>
        <v/>
      </c>
      <c r="C27" s="27" t="n">
        <v>9.1</v>
      </c>
      <c r="D27" s="20">
        <f>B18</f>
        <v/>
      </c>
      <c r="E27" s="4" t="inlineStr">
        <is>
          <t>g/kg</t>
        </is>
      </c>
      <c r="I27" s="2" t="inlineStr">
        <is>
          <t>Dry-draw and X8 re-dry to ω_sup. Cabin-draw carries CABIN humidity, which the model also solves — so this cell is a seed; the residual row below reports convergence</t>
        </is>
      </c>
    </row>
    <row r="28">
      <c r="A28" s="3" t="inlineStr">
        <is>
          <t>Working-air entry T</t>
        </is>
      </c>
      <c r="B28" s="20">
        <f>B19</f>
        <v/>
      </c>
      <c r="C28" s="20">
        <f>B20</f>
        <v/>
      </c>
      <c r="D28" s="20">
        <f>B19</f>
        <v/>
      </c>
      <c r="E28" s="4" t="inlineStr">
        <is>
          <t>°C</t>
        </is>
      </c>
      <c r="I28" s="2" t="inlineStr">
        <is>
          <t>X8 re-dries AND intercools the recycled exhaust exactly like the process stream (doc 20 §2), so its entry state matches dry-draw; only the moisture it carries differs</t>
        </is>
      </c>
    </row>
    <row r="29">
      <c r="A29" s="3" t="inlineStr">
        <is>
          <t>Working-air dew point</t>
        </is>
      </c>
      <c r="B29" s="20">
        <f>(MAG_C*LN((P_atm*B27/1000/(RATIO_MW+B27/1000))/MAG_A)/(MAG_B-LN((P_atm*B27/1000/(RATIO_MW+B27/1000))/MAG_A)))</f>
        <v/>
      </c>
      <c r="C29" s="20">
        <f>(MAG_C*LN((P_atm*C27/1000/(RATIO_MW+C27/1000))/MAG_A)/(MAG_B-LN((P_atm*C27/1000/(RATIO_MW+C27/1000))/MAG_A)))</f>
        <v/>
      </c>
      <c r="D29" s="20">
        <f>(MAG_C*LN((P_atm*D27/1000/(RATIO_MW+D27/1000))/MAG_A)/(MAG_B-LN((P_atm*D27/1000/(RATIO_MW+D27/1000))/MAG_A)))</f>
        <v/>
      </c>
      <c r="E29" s="4" t="inlineStr">
        <is>
          <t>°C</t>
        </is>
      </c>
      <c r="I29" s="2" t="inlineStr">
        <is>
          <t>Equation 2's floor — the M-cycle cannot pass it</t>
        </is>
      </c>
    </row>
    <row r="30">
      <c r="A30" s="3" t="inlineStr">
        <is>
          <t>Supply temperature T_sup</t>
        </is>
      </c>
      <c r="B30" s="18">
        <f>B19-B21*(B19-B29)</f>
        <v/>
      </c>
      <c r="C30" s="18">
        <f>B19-B21*(B19-C29)</f>
        <v/>
      </c>
      <c r="D30" s="18">
        <f>B19-B21*(B19-D29)</f>
        <v/>
      </c>
      <c r="E30" s="4" t="inlineStr">
        <is>
          <t>°C</t>
        </is>
      </c>
      <c r="F30" s="28" t="n">
        <v>17.45</v>
      </c>
      <c r="G30" s="22">
        <f>(C30-F30)/F30</f>
        <v/>
      </c>
      <c r="H30" s="23">
        <f>IF(ABS(G30)&lt;=0.1,"OK","REVIEW")</f>
        <v/>
      </c>
      <c r="I30" s="2" t="inlineStr">
        <is>
          <t>Published band 16.8–18.1 °C (midpoint quoted here)</t>
        </is>
      </c>
    </row>
    <row r="31">
      <c r="A31" s="3" t="inlineStr">
        <is>
          <t>Supply flow S</t>
        </is>
      </c>
      <c r="B31" s="20">
        <f>B15/(CP_A*(B20-B30))</f>
        <v/>
      </c>
      <c r="C31" s="20">
        <f>B15/(CP_A*(B20-C30))</f>
        <v/>
      </c>
      <c r="D31" s="20">
        <f>B15/(CP_A*(B20-D30))</f>
        <v/>
      </c>
      <c r="E31" s="4" t="inlineStr">
        <is>
          <t>kg/s</t>
        </is>
      </c>
      <c r="F31" s="29" t="n">
        <v>0.47</v>
      </c>
      <c r="G31" s="22">
        <f>(C31-F31)/F31</f>
        <v/>
      </c>
      <c r="H31" s="23">
        <f>IF(ABS(G31)&lt;=0.1,"OK","REVIEW")</f>
        <v/>
      </c>
      <c r="I31" s="2" t="inlineStr">
        <is>
          <t>Published band 0.43–0.51 kg/s (≈1,350–1,590 m³/h)</t>
        </is>
      </c>
    </row>
    <row r="32">
      <c r="A32" s="3" t="inlineStr">
        <is>
          <t>Supply flow, volumetric</t>
        </is>
      </c>
      <c r="B32" s="30">
        <f>B31*SEC_H/RHO_A</f>
        <v/>
      </c>
      <c r="C32" s="30">
        <f>C31*SEC_H/RHO_A</f>
        <v/>
      </c>
      <c r="D32" s="30">
        <f>D31*SEC_H/RHO_A</f>
        <v/>
      </c>
      <c r="E32" s="4" t="inlineStr">
        <is>
          <t>m³/h</t>
        </is>
      </c>
      <c r="F32" s="31" t="n">
        <v>1470</v>
      </c>
      <c r="G32" s="22">
        <f>(C32-F32)/F32</f>
        <v/>
      </c>
      <c r="H32" s="23">
        <f>IF(ABS(G32)&lt;=0.1,"OK","REVIEW")</f>
        <v/>
      </c>
      <c r="I32" s="2" t="inlineStr"/>
    </row>
    <row r="33">
      <c r="A33" s="3" t="inlineStr">
        <is>
          <t>Cabin ω (equation 1)</t>
        </is>
      </c>
      <c r="B33" s="18">
        <f>B18+B17/(B31*SEC_H)*1000</f>
        <v/>
      </c>
      <c r="C33" s="18">
        <f>B18+B17/(C31*SEC_H)*1000</f>
        <v/>
      </c>
      <c r="D33" s="18">
        <f>B18+B17/(D31*SEC_H)*1000</f>
        <v/>
      </c>
      <c r="E33" s="4" t="inlineStr">
        <is>
          <t>g/kg</t>
        </is>
      </c>
      <c r="F33" s="28" t="n">
        <v>9.1</v>
      </c>
      <c r="G33" s="22">
        <f>(C33-F33)/F33</f>
        <v/>
      </c>
      <c r="H33" s="23">
        <f>IF(ABS(G33)&lt;=0.1,"OK","REVIEW")</f>
        <v/>
      </c>
      <c r="I33" s="2" t="inlineStr">
        <is>
          <t>Doc 20 §5: ~9.1 g/kg ≈ 40% RH — drier than target, headroom exists</t>
        </is>
      </c>
    </row>
    <row r="34">
      <c r="A34" s="3" t="inlineStr">
        <is>
          <t>Cabin RH at that state</t>
        </is>
      </c>
      <c r="B34" s="22">
        <f>B33/1000*P_atm/(RATIO_MW+B33/1000)/(MAG_A*EXP(MAG_B*B20/(B20+MAG_C)))</f>
        <v/>
      </c>
      <c r="C34" s="22">
        <f>C33/1000*P_atm/(RATIO_MW+C33/1000)/(MAG_A*EXP(MAG_B*B20/(B20+MAG_C)))</f>
        <v/>
      </c>
      <c r="D34" s="22">
        <f>D33/1000*P_atm/(RATIO_MW+D33/1000)/(MAG_A*EXP(MAG_B*B20/(B20+MAG_C)))</f>
        <v/>
      </c>
      <c r="E34" s="4" t="inlineStr">
        <is>
          <t>—</t>
        </is>
      </c>
      <c r="I34" s="2" t="inlineStr">
        <is>
          <t>9.1 g/kg at 25 °C is ~46% RH, not the ~40% quoted in doc 20 §5 — still inside the 40–55% comfort band, so no design consequence. See CHK-010</t>
        </is>
      </c>
    </row>
    <row r="35">
      <c r="A35" s="3" t="inlineStr">
        <is>
          <t>Wet-channel heat Q_wet</t>
        </is>
      </c>
      <c r="B35" s="18">
        <f>B31*CP_A*(B19-B30)</f>
        <v/>
      </c>
      <c r="C35" s="18">
        <f>C31*CP_A*(B19-C30)</f>
        <v/>
      </c>
      <c r="D35" s="18">
        <f>D31*CP_A*(B19-D30)</f>
        <v/>
      </c>
      <c r="E35" s="4" t="inlineStr">
        <is>
          <t>kW</t>
        </is>
      </c>
      <c r="I35" s="2" t="inlineStr">
        <is>
          <t>Equation 4 — the heat that must leave evaporatively</t>
        </is>
      </c>
    </row>
    <row r="36">
      <c r="A36" s="3" t="inlineStr">
        <is>
          <t>Exhaust enthalpy (saturated)</t>
        </is>
      </c>
      <c r="B36" s="26">
        <f>(CP_A*B22+W_SAT_SINK/1000*(H_FG0+CP_V*B22))</f>
        <v/>
      </c>
      <c r="C36" s="26">
        <f>(CP_A*B22+W_SAT_SINK/1000*(H_FG0+CP_V*B22))</f>
        <v/>
      </c>
      <c r="D36" s="26">
        <f>(CP_A*B22+W_SAT_SINK/1000*(H_FG0+CP_V*B22))</f>
        <v/>
      </c>
      <c r="E36" s="4" t="inlineStr">
        <is>
          <t>kJ/kg</t>
        </is>
      </c>
      <c r="I36" s="2" t="inlineStr">
        <is>
          <t>h_sat at the sink temperature</t>
        </is>
      </c>
    </row>
    <row r="37">
      <c r="A37" s="3" t="inlineStr">
        <is>
          <t>Working-air entry enthalpy</t>
        </is>
      </c>
      <c r="B37" s="26">
        <f>(CP_A*B28+B27/1000*(H_FG0+CP_V*B28))</f>
        <v/>
      </c>
      <c r="C37" s="26">
        <f>(CP_A*C28+C27/1000*(H_FG0+CP_V*C28))</f>
        <v/>
      </c>
      <c r="D37" s="26">
        <f>(CP_A*D28+D27/1000*(H_FG0+CP_V*D28))</f>
        <v/>
      </c>
      <c r="E37" s="4" t="inlineStr">
        <is>
          <t>kJ/kg</t>
        </is>
      </c>
      <c r="I37" s="2" t="inlineStr"/>
    </row>
    <row r="38">
      <c r="A38" s="3" t="inlineStr">
        <is>
          <t>Δh_work</t>
        </is>
      </c>
      <c r="B38" s="26">
        <f>B36-B37</f>
        <v/>
      </c>
      <c r="C38" s="26">
        <f>C36-C37</f>
        <v/>
      </c>
      <c r="D38" s="26">
        <f>D36-D37</f>
        <v/>
      </c>
      <c r="E38" s="4" t="inlineStr">
        <is>
          <t>kJ/kg</t>
        </is>
      </c>
      <c r="I38" s="2" t="inlineStr">
        <is>
          <t>Equation 5's denominator</t>
        </is>
      </c>
    </row>
    <row r="39">
      <c r="A39" s="3" t="inlineStr">
        <is>
          <t>Working flow M</t>
        </is>
      </c>
      <c r="B39" s="20">
        <f>B35/B38</f>
        <v/>
      </c>
      <c r="C39" s="20">
        <f>C35/C38</f>
        <v/>
      </c>
      <c r="D39" s="20">
        <f>D35/D38</f>
        <v/>
      </c>
      <c r="E39" s="4" t="inlineStr">
        <is>
          <t>kg/s</t>
        </is>
      </c>
      <c r="F39" s="29" t="n">
        <v>0.145</v>
      </c>
      <c r="G39" s="22">
        <f>(C39-F39)/F39</f>
        <v/>
      </c>
      <c r="H39" s="23">
        <f>IF(ABS(G39)&lt;=0.1,"OK","REVIEW")</f>
        <v/>
      </c>
      <c r="I39" s="2" t="inlineStr">
        <is>
          <t>Published band 0.13–0.16 kg/s (400–500 m³/h)</t>
        </is>
      </c>
    </row>
    <row r="40">
      <c r="A40" s="3" t="inlineStr">
        <is>
          <t>Working flow, volumetric</t>
        </is>
      </c>
      <c r="B40" s="30">
        <f>B39*SEC_H/RHO_A</f>
        <v/>
      </c>
      <c r="C40" s="30">
        <f>C39*SEC_H/RHO_A</f>
        <v/>
      </c>
      <c r="D40" s="30">
        <f>D39*SEC_H/RHO_A</f>
        <v/>
      </c>
      <c r="E40" s="4" t="inlineStr">
        <is>
          <t>m³/h</t>
        </is>
      </c>
      <c r="F40" s="31" t="n">
        <v>450</v>
      </c>
      <c r="G40" s="22">
        <f>(C40-F40)/F40</f>
        <v/>
      </c>
      <c r="H40" s="23">
        <f>IF(ABS(G40)&lt;=0.1,"OK","REVIEW")</f>
        <v/>
      </c>
      <c r="I40" s="2" t="inlineStr"/>
    </row>
    <row r="41">
      <c r="A41" s="3" t="inlineStr">
        <is>
          <t>Sorbent duty (equation 6)</t>
        </is>
      </c>
      <c r="B41" s="18">
        <f>((B31-B39)*(B33-B18)+B39*(B23-B18))*SEC_H/1000</f>
        <v/>
      </c>
      <c r="C41" s="18">
        <f>((C31-C39)*(C33-B18)+C39*(B23-B18))*SEC_H/1000</f>
        <v/>
      </c>
      <c r="D41" s="18">
        <f>((D31-D39)*(D33-B18)+D39*(W_SAT_SINK-B18))*SEC_H/1000</f>
        <v/>
      </c>
      <c r="E41" s="4" t="inlineStr">
        <is>
          <t>kg/h</t>
        </is>
      </c>
      <c r="F41" s="28" t="n">
        <v>10</v>
      </c>
      <c r="G41" s="22">
        <f>(C41-F41)/F41</f>
        <v/>
      </c>
      <c r="H41" s="23">
        <f>IF(ABS(G41)&lt;=0.15,"OK","REVIEW")</f>
        <v/>
      </c>
      <c r="I41" s="2" t="inlineStr">
        <is>
          <t>Published 9–11 kg/h — finding F1</t>
        </is>
      </c>
    </row>
    <row r="42">
      <c r="A42" s="3" t="inlineStr">
        <is>
          <t>Regeneration heat</t>
        </is>
      </c>
      <c r="B42" s="18">
        <f>B41*E_SPEC_S</f>
        <v/>
      </c>
      <c r="C42" s="18">
        <f>C41*E_SPEC_S</f>
        <v/>
      </c>
      <c r="D42" s="18">
        <f>D41*E_SPEC_S</f>
        <v/>
      </c>
      <c r="E42" s="4" t="inlineStr">
        <is>
          <t>kW</t>
        </is>
      </c>
      <c r="F42" s="28" t="n">
        <v>8.25</v>
      </c>
      <c r="G42" s="22">
        <f>(C42-F42)/F42</f>
        <v/>
      </c>
      <c r="H42" s="23">
        <f>IF(ABS(G42)&lt;=0.1,"OK","REVIEW")</f>
        <v/>
      </c>
      <c r="I42" s="2" t="inlineStr">
        <is>
          <t>Published 7.5–9 kW</t>
        </is>
      </c>
    </row>
    <row r="43">
      <c r="A43" s="3" t="inlineStr">
        <is>
          <t>Moisture desorbed per day</t>
        </is>
      </c>
      <c r="B43" s="30">
        <f>B41*24</f>
        <v/>
      </c>
      <c r="C43" s="30">
        <f>C41*24</f>
        <v/>
      </c>
      <c r="D43" s="30">
        <f>D41*24</f>
        <v/>
      </c>
      <c r="E43" s="4" t="inlineStr">
        <is>
          <t>L/day</t>
        </is>
      </c>
      <c r="I43" s="2" t="inlineStr">
        <is>
          <t>Doc 20 §5 publishes 150–220 L/day of RECOVERED condensate — lower than the desorbed total because part of the moisture leaves with the ventilation exhaust rather than reaching the condenser</t>
        </is>
      </c>
    </row>
    <row r="44">
      <c r="A44" s="3" t="inlineStr">
        <is>
          <t>X8 closure penalty (vs same-topology open)</t>
        </is>
      </c>
      <c r="B44" s="18" t="inlineStr"/>
      <c r="C44" s="18" t="inlineStr"/>
      <c r="D44" s="18">
        <f>D41/B41</f>
        <v/>
      </c>
      <c r="E44" s="4" t="inlineStr">
        <is>
          <t>×</t>
        </is>
      </c>
      <c r="I44" s="2" t="inlineStr">
        <is>
          <t>Closure re-dries saturated exhaust (25.6 g/kg) instead of taking ambient makeup (24.2 g/kg), so the working term rises by that ratio alone. Doc 20 §8 quotes a +10–16% raw swing 'partly bought back by the colder dry-draw supply and the ERV'd ventilation term' — this sheet lands at about +7%</t>
        </is>
      </c>
    </row>
    <row r="45">
      <c r="A45" s="3" t="inlineStr">
        <is>
          <t>Convergence residual (seed − solved cabin ω)</t>
        </is>
      </c>
      <c r="B45" s="18" t="inlineStr"/>
      <c r="C45" s="18">
        <f>C27-C33</f>
        <v/>
      </c>
      <c r="D45" s="18" t="inlineStr"/>
      <c r="E45" s="4" t="inlineStr">
        <is>
          <t>g/kg</t>
        </is>
      </c>
      <c r="H45" s="23">
        <f>IF(ABS(C45)&lt;=0.2,"CONVERGED","ITERATE")</f>
        <v/>
      </c>
      <c r="I45" s="2" t="inlineStr">
        <is>
          <t>Cabin-draw only: how far the seeded working-air entry ω sits from the solved cabin state. Re-enter the solved value in the seed cell (or enable iterative calculation) until this reads ~0</t>
        </is>
      </c>
    </row>
    <row r="47" ht="16" customHeight="1">
      <c r="A47" s="7" t="inlineStr">
        <is>
          <t>READING THE RESULT</t>
        </is>
      </c>
      <c r="B47" s="5" t="n"/>
      <c r="C47" s="5" t="n"/>
      <c r="D47" s="5" t="n"/>
      <c r="E47" s="5" t="n"/>
      <c r="F47" s="5" t="n"/>
      <c r="G47" s="5" t="n"/>
      <c r="H47" s="5" t="n"/>
      <c r="I47" s="6" t="n"/>
    </row>
    <row r="48">
      <c r="A48" s="4" t="inlineStr">
        <is>
          <t>Both open topologies land inside the published 9–11 kg/h band, and the published supply-temperature band (16.8–18.1 °C) turns out to be exactly the span between them — dry-draw at the cold end, cabin-draw at the warm end. Cabin-draw is the doctrinal choice (finding X5: route makeup through the cabin before it becomes working air), and it also delivers the ~600 ppm CO₂ that doc 20 §2 describes as a structural by-product of open-cycle operation. The X8 column re-dries the saturated exhaust instead of taking ambient makeup, which costs about +7% on duty here — consistent with doc 20 §8's '+16% swing, partly bought back'. The reason closure is nearly free at DP-A is visible in two numbers: ambient sits at 24.2 g/kg and saturated exhaust at 25.6 g/kg. In any milder ambient that gap widens and closure is what makes the M-cycle water-neutral.</t>
        </is>
      </c>
      <c r="B48" s="8" t="n"/>
      <c r="C48" s="8" t="n"/>
      <c r="D48" s="8" t="n"/>
      <c r="E48" s="8" t="n"/>
      <c r="F48" s="8" t="n"/>
      <c r="G48" s="8" t="n"/>
      <c r="H48" s="8" t="n"/>
      <c r="I48" s="9" t="n"/>
    </row>
    <row r="49">
      <c r="A49" s="10" t="n"/>
      <c r="I49" s="11" t="n"/>
    </row>
    <row r="50">
      <c r="A50" s="10" t="n"/>
      <c r="I50" s="11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4" t="n"/>
    </row>
    <row r="53">
      <c r="A53" s="2" t="inlineStr">
        <is>
          <t>Circularity note: equations 1–6 are mutually dependent (S ← T_sup ← ω_work ← M ← Q_wet ← S). This sheet closes the loop by fixing each topology's working-air ENTRY state, which is the physical design choice, and solving in one pass. Enable iterative calculation in your spreadsheet application if you want to relax the cabin-draw entry humidity onto the solved cabin state rather than the published one. The full transient model (task T2) supersedes this steady state — it does not replace it.</t>
        </is>
      </c>
    </row>
    <row r="54"/>
    <row r="55"/>
  </sheetData>
  <mergeCells count="15">
    <mergeCell ref="B9:I9"/>
    <mergeCell ref="A25:I25"/>
    <mergeCell ref="A2:I2"/>
    <mergeCell ref="B7:I7"/>
    <mergeCell ref="A47:I47"/>
    <mergeCell ref="B6:I6"/>
    <mergeCell ref="B11:I12"/>
    <mergeCell ref="A14:I14"/>
    <mergeCell ref="A53:I55"/>
    <mergeCell ref="B10:I10"/>
    <mergeCell ref="A1:I1"/>
    <mergeCell ref="B5:I5"/>
    <mergeCell ref="A48:I51"/>
    <mergeCell ref="A4:I4"/>
    <mergeCell ref="B8:I8"/>
  </mergeCells>
  <conditionalFormatting sqref="H30">
    <cfRule type="cellIs" priority="1" operator="equal" dxfId="2">
      <formula>"OK"</formula>
    </cfRule>
    <cfRule type="cellIs" priority="2" operator="equal" dxfId="4">
      <formula>"REVIEW"</formula>
    </cfRule>
  </conditionalFormatting>
  <conditionalFormatting sqref="H31">
    <cfRule type="cellIs" priority="3" operator="equal" dxfId="2">
      <formula>"OK"</formula>
    </cfRule>
    <cfRule type="cellIs" priority="4" operator="equal" dxfId="4">
      <formula>"REVIEW"</formula>
    </cfRule>
  </conditionalFormatting>
  <conditionalFormatting sqref="H32">
    <cfRule type="cellIs" priority="5" operator="equal" dxfId="2">
      <formula>"OK"</formula>
    </cfRule>
    <cfRule type="cellIs" priority="6" operator="equal" dxfId="4">
      <formula>"REVIEW"</formula>
    </cfRule>
  </conditionalFormatting>
  <conditionalFormatting sqref="H33">
    <cfRule type="cellIs" priority="7" operator="equal" dxfId="2">
      <formula>"OK"</formula>
    </cfRule>
    <cfRule type="cellIs" priority="8" operator="equal" dxfId="4">
      <formula>"REVIEW"</formula>
    </cfRule>
  </conditionalFormatting>
  <conditionalFormatting sqref="H39">
    <cfRule type="cellIs" priority="9" operator="equal" dxfId="2">
      <formula>"OK"</formula>
    </cfRule>
    <cfRule type="cellIs" priority="10" operator="equal" dxfId="4">
      <formula>"REVIEW"</formula>
    </cfRule>
  </conditionalFormatting>
  <conditionalFormatting sqref="H40">
    <cfRule type="cellIs" priority="11" operator="equal" dxfId="2">
      <formula>"OK"</formula>
    </cfRule>
    <cfRule type="cellIs" priority="12" operator="equal" dxfId="4">
      <formula>"REVIEW"</formula>
    </cfRule>
  </conditionalFormatting>
  <conditionalFormatting sqref="H41">
    <cfRule type="cellIs" priority="13" operator="equal" dxfId="2">
      <formula>"OK"</formula>
    </cfRule>
    <cfRule type="cellIs" priority="14" operator="equal" dxfId="4">
      <formula>"REVIEW"</formula>
    </cfRule>
  </conditionalFormatting>
  <conditionalFormatting sqref="H42">
    <cfRule type="cellIs" priority="15" operator="equal" dxfId="2">
      <formula>"OK"</formula>
    </cfRule>
    <cfRule type="cellIs" priority="16" operator="equal" dxfId="4">
      <formula>"REVIEW"</formula>
    </cfRule>
  </conditionalFormatting>
  <conditionalFormatting sqref="H45">
    <cfRule type="cellIs" priority="17" operator="equal" dxfId="2">
      <formula>"CONVERGED"</formula>
    </cfRule>
    <cfRule type="cellIs" priority="18" operator="equal" dxfId="4">
      <formula>"ITERATE"</formula>
    </cfRule>
  </conditionalFormatting>
  <printOptions horizontalCentered="1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G5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2" customWidth="1" min="4" max="4"/>
    <col width="11" customWidth="1" min="5" max="5"/>
    <col width="13" customWidth="1" min="6" max="6"/>
    <col width="62" customWidth="1" min="7" max="7"/>
  </cols>
  <sheetData>
    <row r="1" ht="22" customHeight="1">
      <c r="A1" s="1" t="inlineStr">
        <is>
          <t>Liquid track — mixed-mode sizing (docs 10–12)</t>
        </is>
      </c>
    </row>
    <row r="2">
      <c r="A2" s="2" t="inlineStr">
        <is>
          <t>The 0.88 kg/h peak, the regeneration budget, the reserve, and the rejection duty, re-derived live from DP-A. Blue cells are inputs.</t>
        </is>
      </c>
    </row>
    <row r="4" ht="16" customHeight="1">
      <c r="A4" s="7" t="inlineStr">
        <is>
          <t>AIR PATH — mixed mode (X6): CO₂-interlocked fresh minimum + recirculated bulk</t>
        </is>
      </c>
      <c r="B4" s="5" t="n"/>
      <c r="C4" s="5" t="n"/>
      <c r="D4" s="5" t="n"/>
      <c r="E4" s="5" t="n"/>
      <c r="F4" s="5" t="n"/>
      <c r="G4" s="6" t="n"/>
    </row>
    <row r="5">
      <c r="A5" s="3" t="inlineStr">
        <is>
          <t>Fresh air (CO₂ floor)</t>
        </is>
      </c>
      <c r="B5" s="26">
        <f>V_FRESH</f>
        <v/>
      </c>
      <c r="C5" s="4" t="inlineStr">
        <is>
          <t>m³/h</t>
        </is>
      </c>
      <c r="D5" s="2" t="inlineStr">
        <is>
          <t>Mechanical minimum stop — never a control setting</t>
        </is>
      </c>
    </row>
    <row r="6">
      <c r="A6" s="3" t="inlineStr">
        <is>
          <t>Fresh air, mass basis</t>
        </is>
      </c>
      <c r="B6" s="26">
        <f>B5*RHO_A_DOC</f>
        <v/>
      </c>
      <c r="C6" s="4" t="inlineStr">
        <is>
          <t>kg/h</t>
        </is>
      </c>
      <c r="D6" s="2" t="inlineStr">
        <is>
          <t>Doc 12 quotes ≈58 kg/h</t>
        </is>
      </c>
    </row>
    <row r="7">
      <c r="A7" s="3" t="inlineStr">
        <is>
          <t>Recirculated air</t>
        </is>
      </c>
      <c r="B7" s="24" t="n">
        <v>75</v>
      </c>
      <c r="C7" s="4" t="inlineStr">
        <is>
          <t>m³/h</t>
        </is>
      </c>
      <c r="D7" s="2" t="inlineStr">
        <is>
          <t>Doc 10 §2; decouples removal from the ventilation ration</t>
        </is>
      </c>
    </row>
    <row r="8">
      <c r="A8" s="3" t="inlineStr">
        <is>
          <t>Recirculated air, mass basis</t>
        </is>
      </c>
      <c r="B8" s="26">
        <f>B7*RHO_A_DOC</f>
        <v/>
      </c>
      <c r="C8" s="4" t="inlineStr">
        <is>
          <t>kg/h</t>
        </is>
      </c>
      <c r="D8" s="2" t="inlineStr">
        <is>
          <t>Doc 12's build-up implies 90.6 kg/h</t>
        </is>
      </c>
    </row>
    <row r="9">
      <c r="A9" s="3" t="inlineStr">
        <is>
          <t>Total absorber flow</t>
        </is>
      </c>
      <c r="B9" s="26">
        <f>B5+B7</f>
        <v/>
      </c>
      <c r="C9" s="4" t="inlineStr">
        <is>
          <t>m³/h</t>
        </is>
      </c>
      <c r="D9" s="2" t="inlineStr">
        <is>
          <t>Doc 12 quotes ~123 m³/h (≈147 kg/h) — see CHK-001</t>
        </is>
      </c>
    </row>
    <row r="10">
      <c r="A10" s="3" t="inlineStr">
        <is>
          <t>Total absorber flow, mass basis</t>
        </is>
      </c>
      <c r="B10" s="26">
        <f>B6+B8</f>
        <v/>
      </c>
      <c r="C10" s="4" t="inlineStr">
        <is>
          <t>kg/h</t>
        </is>
      </c>
      <c r="D10" s="2" t="inlineStr"/>
    </row>
    <row r="12" ht="16" customHeight="1">
      <c r="A12" s="7" t="inlineStr">
        <is>
          <t>ABSORBER FLOOR — set by sump concentration, not per-pass approach</t>
        </is>
      </c>
      <c r="B12" s="5" t="n"/>
      <c r="C12" s="5" t="n"/>
      <c r="D12" s="5" t="n"/>
      <c r="E12" s="5" t="n"/>
      <c r="F12" s="5" t="n"/>
      <c r="G12" s="6" t="n"/>
    </row>
    <row r="13">
      <c r="A13" s="3" t="inlineStr">
        <is>
          <t>Brine water activity (aw)</t>
        </is>
      </c>
      <c r="B13" s="18">
        <f>AW_40</f>
        <v/>
      </c>
      <c r="C13" s="4" t="inlineStr">
        <is>
          <t>—</t>
        </is>
      </c>
      <c r="D13" s="2" t="inlineStr">
        <is>
          <t>PENDING test A — ±0.05 aw is ±1.5–3 g/kg of floor</t>
        </is>
      </c>
    </row>
    <row r="14">
      <c r="A14" s="3" t="inlineStr">
        <is>
          <t>Brine temperature</t>
        </is>
      </c>
      <c r="B14" s="18">
        <f>T_BRINE</f>
        <v/>
      </c>
      <c r="C14" s="4" t="inlineStr">
        <is>
          <t>°C</t>
        </is>
      </c>
      <c r="D14" s="2" t="inlineStr">
        <is>
          <t>Sink + approach; cooling is REQUIRED, not optional (erratum 2)</t>
        </is>
      </c>
    </row>
    <row r="15">
      <c r="A15" s="3" t="inlineStr">
        <is>
          <t>Absorber outlet floor ω</t>
        </is>
      </c>
      <c r="B15" s="18">
        <f>1000*RATIO_MW*B13*(MAG_A*EXP(MAG_B*B14/(B14+MAG_C)))/(P_atm-B13*(MAG_A*EXP(MAG_B*B14/(B14+MAG_C))))</f>
        <v/>
      </c>
      <c r="C15" s="4" t="inlineStr">
        <is>
          <t>g/kg</t>
        </is>
      </c>
      <c r="D15" s="2" t="inlineStr">
        <is>
          <t>Doc 12 publishes 11.9 g/kg at aw 0.45 / 30 °C</t>
        </is>
      </c>
    </row>
    <row r="16">
      <c r="A16" s="3" t="inlineStr">
        <is>
          <t>Published floor, base brine</t>
        </is>
      </c>
      <c r="B16" s="28" t="n">
        <v>11.9</v>
      </c>
      <c r="C16" s="4" t="inlineStr">
        <is>
          <t>g/kg</t>
        </is>
      </c>
      <c r="D16" s="2" t="inlineStr">
        <is>
          <t>Doc 12 §1 — for comparison</t>
        </is>
      </c>
    </row>
    <row r="17">
      <c r="A17" s="3" t="inlineStr">
        <is>
          <t>Hot-regen floor ω (43–44 wt%)</t>
        </is>
      </c>
      <c r="B17" s="18">
        <f>1000*RATIO_MW*AW_44*(MAG_A*EXP(MAG_B*B14/(B14+MAG_C)))/(P_atm-AW_44*(MAG_A*EXP(MAG_B*B14/(B14+MAG_C))))</f>
        <v/>
      </c>
      <c r="C17" s="4" t="inlineStr">
        <is>
          <t>g/kg</t>
        </is>
      </c>
      <c r="D17" s="2" t="inlineStr">
        <is>
          <t>Doc 12 publishes 9.0 g/kg — the deep-dry lever without LiCl</t>
        </is>
      </c>
    </row>
    <row r="19" ht="16" customHeight="1">
      <c r="A19" s="7" t="inlineStr">
        <is>
          <t>REMOVAL DUTY — the 0.88 kg/h peak</t>
        </is>
      </c>
      <c r="B19" s="5" t="n"/>
      <c r="C19" s="5" t="n"/>
      <c r="D19" s="5" t="n"/>
      <c r="E19" s="5" t="n"/>
      <c r="F19" s="5" t="n"/>
      <c r="G19" s="6" t="n"/>
    </row>
    <row r="20">
      <c r="A20" s="15" t="inlineStr">
        <is>
          <t>Term</t>
        </is>
      </c>
      <c r="B20" s="15" t="inlineStr">
        <is>
          <t>Calculated</t>
        </is>
      </c>
      <c r="C20" s="15" t="inlineStr">
        <is>
          <t>Published</t>
        </is>
      </c>
      <c r="D20" s="15" t="inlineStr">
        <is>
          <t>Δ</t>
        </is>
      </c>
      <c r="E20" s="15" t="inlineStr">
        <is>
          <t>Check</t>
        </is>
      </c>
      <c r="F20" s="15" t="inlineStr">
        <is>
          <t>Unit</t>
        </is>
      </c>
      <c r="G20" s="15" t="inlineStr">
        <is>
          <t>Basis</t>
        </is>
      </c>
    </row>
    <row r="21">
      <c r="A21" s="3" t="inlineStr">
        <is>
          <t>Fresh-air term, bare intake</t>
        </is>
      </c>
      <c r="B21" s="20">
        <f>B6*(W_AMB-B15)/1000</f>
        <v/>
      </c>
      <c r="C21" s="29" t="n">
        <v>0.713</v>
      </c>
      <c r="D21" s="22">
        <f>IF(C21=0,"",(B21-C21)/C21)</f>
        <v/>
      </c>
      <c r="E21" s="23">
        <f>IF(C21=0,"—",IF(ABS(D21)&lt;=0.1,"OK","REVIEW"))</f>
        <v/>
      </c>
      <c r="F21" s="4" t="inlineStr">
        <is>
          <t>kg/h</t>
        </is>
      </c>
      <c r="G21" s="2" t="inlineStr">
        <is>
          <t>58 kg/h × (24.2 − 11.9) g/kg — the dominant term without an ERV</t>
        </is>
      </c>
    </row>
    <row r="22">
      <c r="A22" s="3" t="inlineStr">
        <is>
          <t>Recirculation term</t>
        </is>
      </c>
      <c r="B22" s="20">
        <f>B8*(W_CAB_L-B15)/1000</f>
        <v/>
      </c>
      <c r="C22" s="29" t="n">
        <v>0.172</v>
      </c>
      <c r="D22" s="22">
        <f>IF(C22=0,"",(B22-C22)/C22)</f>
        <v/>
      </c>
      <c r="E22" s="23">
        <f>IF(C22=0,"—",IF(ABS(D22)&lt;=0.1,"OK","REVIEW"))</f>
        <v/>
      </c>
      <c r="F22" s="4" t="inlineStr">
        <is>
          <t>kg/h</t>
        </is>
      </c>
      <c r="G22" s="2" t="inlineStr">
        <is>
          <t>90.6 kg/h × (13.8 − 11.9) g/kg — holds the cabin at target</t>
        </is>
      </c>
    </row>
    <row r="23">
      <c r="A23" s="3" t="inlineStr">
        <is>
          <t>PEAK REMOVAL, bare fresh</t>
        </is>
      </c>
      <c r="B23" s="20">
        <f>B21+B22</f>
        <v/>
      </c>
      <c r="C23" s="29" t="n">
        <v>0.88</v>
      </c>
      <c r="D23" s="22">
        <f>IF(C23=0,"",(B23-C23)/C23)</f>
        <v/>
      </c>
      <c r="E23" s="23">
        <f>IF(C23=0,"—",IF(ABS(D23)&lt;=0.1,"OK","REVIEW"))</f>
        <v/>
      </c>
      <c r="F23" s="4" t="inlineStr">
        <is>
          <t>kg/h</t>
        </is>
      </c>
      <c r="G23" s="2" t="inlineStr">
        <is>
          <t>Doc 12 §1 headline: 0.88 kg/h at DP-A, 4 adults, mixed mode</t>
        </is>
      </c>
    </row>
    <row r="24">
      <c r="A24" s="3" t="inlineStr">
        <is>
          <t>Fresh-air term, ERV'd at ε 0.8</t>
        </is>
      </c>
      <c r="B24" s="20">
        <f>B6*(W_ERV-B15)/1000</f>
        <v/>
      </c>
      <c r="C24" s="29" t="n">
        <v>0.232</v>
      </c>
      <c r="D24" s="22">
        <f>IF(C24=0,"",(B24-C24)/C24)</f>
        <v/>
      </c>
      <c r="E24" s="23">
        <f>IF(C24=0,"—",IF(ABS(D24)&lt;=0.1,"OK","REVIEW"))</f>
        <v/>
      </c>
      <c r="F24" s="4" t="inlineStr">
        <is>
          <t>kg/h</t>
        </is>
      </c>
      <c r="G24" s="2" t="inlineStr">
        <is>
          <t>ω_ERV 15.9 g/kg from doc 12 §1</t>
        </is>
      </c>
    </row>
    <row r="25">
      <c r="A25" s="3" t="inlineStr">
        <is>
          <t>PEAK REMOVAL, ERV'd at ε 0.8</t>
        </is>
      </c>
      <c r="B25" s="20">
        <f>B24+B22</f>
        <v/>
      </c>
      <c r="C25" s="29" t="n">
        <v>0.49</v>
      </c>
      <c r="D25" s="22">
        <f>IF(C25=0,"",(B25-C25)/C25)</f>
        <v/>
      </c>
      <c r="E25" s="23">
        <f>IF(C25=0,"—",IF(ABS(D25)&lt;=0.2,"OK","REVIEW"))</f>
        <v/>
      </c>
      <c r="F25" s="4" t="inlineStr">
        <is>
          <t>kg/h</t>
        </is>
      </c>
      <c r="G25" s="2" t="inlineStr">
        <is>
          <t>Doc 12 publishes 0.49 kg/h — which reproduces at ε≈0.65 (ω 17.4), not ε 0.8. See CHK-002</t>
        </is>
      </c>
    </row>
    <row r="26">
      <c r="A26" s="3" t="inlineStr">
        <is>
          <t>Sanity: flow needed to hold 13.8 g/kg</t>
        </is>
      </c>
      <c r="B26" s="20">
        <f>G_LAT/(W_CAB_L-B15)</f>
        <v/>
      </c>
      <c r="C26" s="29" t="n">
        <v>147</v>
      </c>
      <c r="D26" s="22">
        <f>IF(C26=0,"",(B26-C26)/C26)</f>
        <v/>
      </c>
      <c r="E26" s="23">
        <f>IF(C26=0,"—",IF(ABS(D26)&lt;=0.1,"OK","REVIEW"))</f>
        <v/>
      </c>
      <c r="F26" s="4" t="inlineStr">
        <is>
          <t>kg/h</t>
        </is>
      </c>
      <c r="G26" s="2" t="inlineStr">
        <is>
          <t>Gains 280 g/h ÷ (13.8 − 11.9) g/kg — reproduces the 147 kg/h figure</t>
        </is>
      </c>
    </row>
    <row r="28" ht="16" customHeight="1">
      <c r="A28" s="7" t="inlineStr">
        <is>
          <t>REGENERATION &amp; HEAT REJECTION</t>
        </is>
      </c>
      <c r="B28" s="5" t="n"/>
      <c r="C28" s="5" t="n"/>
      <c r="D28" s="5" t="n"/>
      <c r="E28" s="5" t="n"/>
      <c r="F28" s="5" t="n"/>
      <c r="G28" s="6" t="n"/>
    </row>
    <row r="29">
      <c r="A29" s="15" t="inlineStr">
        <is>
          <t>Term</t>
        </is>
      </c>
      <c r="B29" s="15" t="inlineStr">
        <is>
          <t>Calculated</t>
        </is>
      </c>
      <c r="C29" s="15" t="inlineStr">
        <is>
          <t>Published</t>
        </is>
      </c>
      <c r="D29" s="15" t="inlineStr">
        <is>
          <t>Δ</t>
        </is>
      </c>
      <c r="E29" s="15" t="inlineStr">
        <is>
          <t>Check</t>
        </is>
      </c>
      <c r="F29" s="15" t="inlineStr">
        <is>
          <t>Unit</t>
        </is>
      </c>
      <c r="G29" s="15" t="inlineStr">
        <is>
          <t>Basis</t>
        </is>
      </c>
    </row>
    <row r="30">
      <c r="A30" s="3" t="inlineStr">
        <is>
          <t>Latent duty at peak removal</t>
        </is>
      </c>
      <c r="B30" s="20">
        <f>B23*H_FG_REGEN/SEC_H</f>
        <v/>
      </c>
      <c r="C30" s="29" t="n">
        <v>0.6</v>
      </c>
      <c r="D30" s="22">
        <f>IF(C30=0,"",(B30-C30)/C30)</f>
        <v/>
      </c>
      <c r="E30" s="23">
        <f>IF(C30=0,"—",IF(ABS(D30)&lt;=0.1,"OK","REVIEW"))</f>
        <v/>
      </c>
      <c r="F30" s="4" t="inlineStr">
        <is>
          <t>kW</t>
        </is>
      </c>
      <c r="G30" s="2" t="inlineStr">
        <is>
          <t>removal × 2.44 MJ/kg</t>
        </is>
      </c>
    </row>
    <row r="31">
      <c r="A31" s="3" t="inlineStr">
        <is>
          <t>COP applied to the peak duty</t>
        </is>
      </c>
      <c r="B31" s="25" t="n">
        <v>0.65</v>
      </c>
      <c r="G31" s="2" t="inlineStr">
        <is>
          <t>Doc 12 §1 gives a COP build-up of ≈0.59 with no recovery HX and ~0.65 with one. The published 0.92 kW headline corresponds to 0.65, i.e. the recovery-HX case — see CHK-012</t>
        </is>
      </c>
    </row>
    <row r="32">
      <c r="A32" s="3" t="inlineStr">
        <is>
          <t>Regeneration heat, bare fresh</t>
        </is>
      </c>
      <c r="B32" s="20">
        <f>B30/B31</f>
        <v/>
      </c>
      <c r="C32" s="29" t="n">
        <v>0.92</v>
      </c>
      <c r="D32" s="22">
        <f>IF(C32=0,"",(B32-C32)/C32)</f>
        <v/>
      </c>
      <c r="E32" s="23">
        <f>IF(C32=0,"—",IF(ABS(D32)&lt;=0.1,"OK","REVIEW"))</f>
        <v/>
      </c>
      <c r="F32" s="4" t="inlineStr">
        <is>
          <t>kW</t>
        </is>
      </c>
      <c r="G32" s="2" t="inlineStr">
        <is>
          <t>latent ÷ COP; reproduces the published 0.92 kW at COP 0.65</t>
        </is>
      </c>
    </row>
    <row r="33">
      <c r="A33" s="3" t="inlineStr">
        <is>
          <t>Regeneration heat, ERV'd</t>
        </is>
      </c>
      <c r="B33" s="20">
        <f>B25*H_FG_REGEN/SEC_H/B31</f>
        <v/>
      </c>
      <c r="C33" s="29" t="n">
        <v>0.6</v>
      </c>
      <c r="D33" s="22">
        <f>IF(C33=0,"",(B33-C33)/C33)</f>
        <v/>
      </c>
      <c r="E33" s="23">
        <f>IF(C33=0,"—",IF(ABS(D33)&lt;=0.2,"OK","REVIEW"))</f>
        <v/>
      </c>
      <c r="F33" s="4" t="inlineStr">
        <is>
          <t>kW</t>
        </is>
      </c>
      <c r="G33" s="2" t="inlineStr">
        <is>
          <t>Does NOT reproduce: the published 0.6 kW needs both the ε 0.65 removal (CHK-002) and a COP near 0.55. The two ERV'd lines in doc 12 §1 are not on a single consistent basis</t>
        </is>
      </c>
    </row>
    <row r="34">
      <c r="A34" s="3" t="inlineStr">
        <is>
          <t>Absorption heat into the brine</t>
        </is>
      </c>
      <c r="B34" s="20">
        <f>B23*H_ABS/SEC_H</f>
        <v/>
      </c>
      <c r="C34" s="29" t="n">
        <v>0.66</v>
      </c>
      <c r="D34" s="22">
        <f>IF(C34=0,"",(B34-C34)/C34)</f>
        <v/>
      </c>
      <c r="E34" s="23">
        <f>IF(C34=0,"—",IF(ABS(D34)&lt;=0.1,"OK","REVIEW"))</f>
        <v/>
      </c>
      <c r="F34" s="4" t="inlineStr">
        <is>
          <t>kW</t>
        </is>
      </c>
      <c r="G34" s="2" t="inlineStr">
        <is>
          <t>0.88 kg/h × 2.7 MJ/kg — must be rejected or the contactor self-limits</t>
        </is>
      </c>
    </row>
    <row r="35">
      <c r="A35" s="3" t="inlineStr">
        <is>
          <t>Raw-water flow at 2 K rise</t>
        </is>
      </c>
      <c r="B35" s="20">
        <f>B34/(4.18*2)*SEC_H</f>
        <v/>
      </c>
      <c r="C35" s="29" t="n">
        <v>300</v>
      </c>
      <c r="D35" s="22">
        <f>IF(C35=0,"",(B35-C35)/C35)</f>
        <v/>
      </c>
      <c r="E35" s="23">
        <f>IF(C35=0,"—",IF(ABS(D35)&lt;=0.1,"OK","REVIEW"))</f>
        <v/>
      </c>
      <c r="F35" s="4" t="inlineStr">
        <is>
          <t>L/h</t>
        </is>
      </c>
      <c r="G35" s="2" t="inlineStr">
        <is>
          <t>Doc 12: ~300 L/h base; 3–4 K rise halves the flow at ~1 g/kg of floor</t>
        </is>
      </c>
    </row>
    <row r="36">
      <c r="A36" s="3" t="inlineStr">
        <is>
          <t>Air-side heat removal, fresh stream only</t>
        </is>
      </c>
      <c r="B36" s="20">
        <f>B6*CP_A/SEC_H*1000</f>
        <v/>
      </c>
      <c r="C36" s="29" t="n">
        <v>16</v>
      </c>
      <c r="D36" s="22">
        <f>IF(C36=0,"",(B36-C36)/C36)</f>
        <v/>
      </c>
      <c r="E36" s="23">
        <f>IF(C36=0,"—",IF(ABS(D36)&lt;=0.1,"OK","REVIEW"))</f>
        <v/>
      </c>
      <c r="F36" s="4" t="inlineStr">
        <is>
          <t>W/K</t>
        </is>
      </c>
      <c r="G36" s="2" t="inlineStr">
        <is>
          <t>Why an uncooled contactor warms 5–8 K and loses the floor — see CHK-004</t>
        </is>
      </c>
    </row>
    <row r="37">
      <c r="A37" s="3" t="inlineStr">
        <is>
          <t>Air-side heat removal, total flow</t>
        </is>
      </c>
      <c r="B37" s="20">
        <f>B10*CP_A/SEC_H*1000</f>
        <v/>
      </c>
      <c r="C37" s="29" t="n">
        <v>35</v>
      </c>
      <c r="D37" s="22">
        <f>IF(C37=0,"",(B37-C37)/C37)</f>
        <v/>
      </c>
      <c r="E37" s="23">
        <f>IF(C37=0,"—",IF(ABS(D37)&lt;=0.2,"OK","REVIEW"))</f>
        <v/>
      </c>
      <c r="F37" s="4" t="inlineStr">
        <is>
          <t>W/K</t>
        </is>
      </c>
      <c r="G37" s="2" t="inlineStr">
        <is>
          <t>The ~35 W/K figure quoted in doc 10 §3 is on the mixed-mode flow</t>
        </is>
      </c>
    </row>
    <row r="39" ht="16" customHeight="1">
      <c r="A39" s="7" t="inlineStr">
        <is>
          <t>MOISTURE BATTERY &amp; DAILY BUDGET</t>
        </is>
      </c>
      <c r="B39" s="5" t="n"/>
      <c r="C39" s="5" t="n"/>
      <c r="D39" s="5" t="n"/>
      <c r="E39" s="5" t="n"/>
      <c r="F39" s="5" t="n"/>
      <c r="G39" s="6" t="n"/>
    </row>
    <row r="40">
      <c r="A40" s="3" t="inlineStr">
        <is>
          <t>Water absorbed per kg concentrate</t>
        </is>
      </c>
      <c r="B40" s="18">
        <f>C_HI/C_LO-1</f>
        <v/>
      </c>
      <c r="C40" s="4" t="inlineStr">
        <is>
          <t>kg/kg</t>
        </is>
      </c>
      <c r="D40" s="2" t="inlineStr">
        <is>
          <t>0.40/0.35 − 1 = 0.143</t>
        </is>
      </c>
    </row>
    <row r="41">
      <c r="A41" s="3" t="inlineStr">
        <is>
          <t>Occupied-night duration</t>
        </is>
      </c>
      <c r="B41" s="25" t="n">
        <v>12</v>
      </c>
      <c r="C41" s="4" t="inlineStr">
        <is>
          <t>h</t>
        </is>
      </c>
      <c r="D41" s="2" t="inlineStr">
        <is>
          <t>The reserve must bridge it with zero heat input</t>
        </is>
      </c>
    </row>
    <row r="42">
      <c r="A42" s="3" t="inlineStr">
        <is>
          <t>Duty-averaged fraction of peak</t>
        </is>
      </c>
      <c r="B42" s="25" t="n">
        <v>0.55</v>
      </c>
      <c r="C42" s="4" t="inlineStr">
        <is>
          <t>—</t>
        </is>
      </c>
      <c r="D42" s="2" t="inlineStr">
        <is>
          <t>Night duty is below the DP-A peak (sleeping occupants)</t>
        </is>
      </c>
    </row>
    <row r="43">
      <c r="A43" s="3" t="inlineStr">
        <is>
          <t>Overnight concentrate draw</t>
        </is>
      </c>
      <c r="B43" s="18">
        <f>B23*B41*B42/B40</f>
        <v/>
      </c>
      <c r="C43" s="4" t="inlineStr">
        <is>
          <t>kg</t>
        </is>
      </c>
      <c r="D43" s="2" t="inlineStr">
        <is>
          <t>Doc 10 §3 publishes ~35–40 kg; spec band 25–55 kg</t>
        </is>
      </c>
    </row>
    <row r="44">
      <c r="A44" s="3" t="inlineStr">
        <is>
          <t>Reserve tank spec, minimum</t>
        </is>
      </c>
      <c r="B44" s="25" t="n">
        <v>25</v>
      </c>
      <c r="C44" s="4" t="inlineStr">
        <is>
          <t>kg</t>
        </is>
      </c>
      <c r="D44" s="2" t="inlineStr">
        <is>
          <t>Doc 10 §3</t>
        </is>
      </c>
    </row>
    <row r="45">
      <c r="A45" s="3" t="inlineStr">
        <is>
          <t>Reserve tank spec, maximum</t>
        </is>
      </c>
      <c r="B45" s="25" t="n">
        <v>55</v>
      </c>
      <c r="C45" s="4" t="inlineStr">
        <is>
          <t>kg</t>
        </is>
      </c>
      <c r="D45" s="2" t="inlineStr"/>
    </row>
    <row r="46">
      <c r="A46" s="3" t="inlineStr">
        <is>
          <t>Duty-schedule factor over 24 h</t>
        </is>
      </c>
      <c r="B46" s="25" t="n">
        <v>0.8</v>
      </c>
      <c r="C46" s="4" t="inlineStr">
        <is>
          <t>—</t>
        </is>
      </c>
      <c r="D46" s="2" t="inlineStr">
        <is>
          <t>Peak duty does not run all day; the published daily figures are duty-scheduled</t>
        </is>
      </c>
    </row>
    <row r="47">
      <c r="A47" s="3" t="inlineStr">
        <is>
          <t>Daily heat, bare fresh</t>
        </is>
      </c>
      <c r="B47" s="18">
        <f>B32*24*B46</f>
        <v/>
      </c>
      <c r="C47" s="4" t="inlineStr">
        <is>
          <t>kWh/day</t>
        </is>
      </c>
      <c r="D47" s="2" t="inlineStr">
        <is>
          <t>Doc 12 publishes 17–20 kWh/day</t>
        </is>
      </c>
    </row>
    <row r="48">
      <c r="A48" s="3" t="inlineStr">
        <is>
          <t>ERV + DCV reduction factor</t>
        </is>
      </c>
      <c r="B48" s="25" t="n">
        <v>0.54</v>
      </c>
      <c r="C48" s="4" t="inlineStr">
        <is>
          <t>—</t>
        </is>
      </c>
      <c r="D48" s="2" t="inlineStr">
        <is>
          <t>Ratio of the published ERV'd budget to the bare-fresh budget (10 ÷ 18.5 at midpoints)</t>
        </is>
      </c>
    </row>
    <row r="49">
      <c r="A49" s="3" t="inlineStr">
        <is>
          <t>Daily heat, ERV + DCV scheduled</t>
        </is>
      </c>
      <c r="B49" s="18">
        <f>B47*B48</f>
        <v/>
      </c>
      <c r="C49" s="4" t="inlineStr">
        <is>
          <t>kWh/day</t>
        </is>
      </c>
      <c r="D49" s="2" t="inlineStr">
        <is>
          <t>Duty-scheduling and DCV take the bare-fresh budget down to the published 9–11 kWh/day; the ERV is ~9–10 kWh/day of that saving on its own (X7)</t>
        </is>
      </c>
    </row>
    <row r="51" ht="16" customHeight="1">
      <c r="A51" s="7" t="inlineStr">
        <is>
          <t>CONTACTOR SIZING</t>
        </is>
      </c>
      <c r="B51" s="5" t="n"/>
      <c r="C51" s="5" t="n"/>
      <c r="D51" s="5" t="n"/>
      <c r="E51" s="5" t="n"/>
      <c r="F51" s="5" t="n"/>
      <c r="G51" s="6" t="n"/>
    </row>
    <row r="52">
      <c r="A52" s="3" t="inlineStr">
        <is>
          <t>Cell rated capacity (mid-band)</t>
        </is>
      </c>
      <c r="B52" s="25" t="n">
        <v>0.6</v>
      </c>
      <c r="C52" s="4" t="inlineStr">
        <is>
          <t>kg/h</t>
        </is>
      </c>
      <c r="D52" s="2" t="inlineStr">
        <is>
          <t>PENDING test I — published band 0.4–0.8 kg/h</t>
        </is>
      </c>
    </row>
    <row r="53">
      <c r="A53" s="3" t="inlineStr">
        <is>
          <t>Cells required at peak duty</t>
        </is>
      </c>
      <c r="B53" s="18">
        <f>CEILING(B23/B52,1)</f>
        <v/>
      </c>
      <c r="C53" s="4" t="inlineStr">
        <is>
          <t>cells</t>
        </is>
      </c>
      <c r="D53" s="2" t="inlineStr">
        <is>
          <t>Doc 11: mixed-mode duty sits inside a 2-cell bank at mid-rating</t>
        </is>
      </c>
    </row>
    <row r="54">
      <c r="A54" s="3" t="inlineStr">
        <is>
          <t>Bank provision (+1 empty bay)</t>
        </is>
      </c>
      <c r="B54" s="18">
        <f>B53+1</f>
        <v/>
      </c>
      <c r="C54" s="4" t="inlineStr">
        <is>
          <t>bays</t>
        </is>
      </c>
      <c r="D54" s="2" t="inlineStr">
        <is>
          <t>One deliberately empty bay is design doctrine</t>
        </is>
      </c>
    </row>
    <row r="55">
      <c r="A55" s="3" t="inlineStr">
        <is>
          <t>Irrigation per cell</t>
        </is>
      </c>
      <c r="B55" s="25" t="n">
        <v>9</v>
      </c>
      <c r="C55" s="4" t="inlineStr">
        <is>
          <t>L/min</t>
        </is>
      </c>
      <c r="D55" s="2" t="inlineStr">
        <is>
          <t>150–240 L/min·m²; underwetting collapses K·a nonlinearly</t>
        </is>
      </c>
    </row>
    <row r="56">
      <c r="A56" s="3" t="inlineStr">
        <is>
          <t>Total irrigation demand</t>
        </is>
      </c>
      <c r="B56" s="18">
        <f>B53*B55</f>
        <v/>
      </c>
      <c r="C56" s="4" t="inlineStr">
        <is>
          <t>L/min</t>
        </is>
      </c>
      <c r="D56" s="2" t="inlineStr">
        <is>
          <t>The binding constraint is wetting, not airflow</t>
        </is>
      </c>
    </row>
    <row r="57">
      <c r="A57" s="3" t="inlineStr">
        <is>
          <t>Face velocity</t>
        </is>
      </c>
      <c r="B57" s="25" t="n">
        <v>0.8</v>
      </c>
      <c r="C57" s="4" t="inlineStr">
        <is>
          <t>m/s</t>
        </is>
      </c>
      <c r="D57" s="2" t="inlineStr">
        <is>
          <t>Band 0.6–1.0 m/s</t>
        </is>
      </c>
    </row>
    <row r="58">
      <c r="A58" s="3" t="inlineStr">
        <is>
          <t>Face area implied by total flow</t>
        </is>
      </c>
      <c r="B58" s="18">
        <f>B10/RHO_A/SEC_H/B57</f>
        <v/>
      </c>
      <c r="C58" s="4" t="inlineStr">
        <is>
          <t>m²</t>
        </is>
      </c>
      <c r="D58" s="2" t="inlineStr"/>
    </row>
  </sheetData>
  <mergeCells count="8">
    <mergeCell ref="A1:G1"/>
    <mergeCell ref="A39:G39"/>
    <mergeCell ref="A12:G12"/>
    <mergeCell ref="A4:G4"/>
    <mergeCell ref="A2:G2"/>
    <mergeCell ref="A19:G19"/>
    <mergeCell ref="A51:G51"/>
    <mergeCell ref="A28:G28"/>
  </mergeCells>
  <conditionalFormatting sqref="E21">
    <cfRule type="cellIs" priority="1" operator="equal" dxfId="2">
      <formula>"OK"</formula>
    </cfRule>
    <cfRule type="cellIs" priority="2" operator="equal" dxfId="4">
      <formula>"REVIEW"</formula>
    </cfRule>
  </conditionalFormatting>
  <conditionalFormatting sqref="E22">
    <cfRule type="cellIs" priority="3" operator="equal" dxfId="2">
      <formula>"OK"</formula>
    </cfRule>
    <cfRule type="cellIs" priority="4" operator="equal" dxfId="4">
      <formula>"REVIEW"</formula>
    </cfRule>
  </conditionalFormatting>
  <conditionalFormatting sqref="E23">
    <cfRule type="cellIs" priority="5" operator="equal" dxfId="2">
      <formula>"OK"</formula>
    </cfRule>
    <cfRule type="cellIs" priority="6" operator="equal" dxfId="4">
      <formula>"REVIEW"</formula>
    </cfRule>
  </conditionalFormatting>
  <conditionalFormatting sqref="E24">
    <cfRule type="cellIs" priority="7" operator="equal" dxfId="2">
      <formula>"OK"</formula>
    </cfRule>
    <cfRule type="cellIs" priority="8" operator="equal" dxfId="4">
      <formula>"REVIEW"</formula>
    </cfRule>
  </conditionalFormatting>
  <conditionalFormatting sqref="E25">
    <cfRule type="cellIs" priority="9" operator="equal" dxfId="2">
      <formula>"OK"</formula>
    </cfRule>
    <cfRule type="cellIs" priority="10" operator="equal" dxfId="4">
      <formula>"REVIEW"</formula>
    </cfRule>
  </conditionalFormatting>
  <conditionalFormatting sqref="E26">
    <cfRule type="cellIs" priority="11" operator="equal" dxfId="2">
      <formula>"OK"</formula>
    </cfRule>
    <cfRule type="cellIs" priority="12" operator="equal" dxfId="4">
      <formula>"REVIEW"</formula>
    </cfRule>
  </conditionalFormatting>
  <conditionalFormatting sqref="E30">
    <cfRule type="cellIs" priority="13" operator="equal" dxfId="2">
      <formula>"OK"</formula>
    </cfRule>
    <cfRule type="cellIs" priority="14" operator="equal" dxfId="4">
      <formula>"REVIEW"</formula>
    </cfRule>
  </conditionalFormatting>
  <conditionalFormatting sqref="E32">
    <cfRule type="cellIs" priority="15" operator="equal" dxfId="2">
      <formula>"OK"</formula>
    </cfRule>
    <cfRule type="cellIs" priority="16" operator="equal" dxfId="4">
      <formula>"REVIEW"</formula>
    </cfRule>
  </conditionalFormatting>
  <conditionalFormatting sqref="E33">
    <cfRule type="cellIs" priority="17" operator="equal" dxfId="2">
      <formula>"OK"</formula>
    </cfRule>
    <cfRule type="cellIs" priority="18" operator="equal" dxfId="4">
      <formula>"REVIEW"</formula>
    </cfRule>
  </conditionalFormatting>
  <conditionalFormatting sqref="E34">
    <cfRule type="cellIs" priority="19" operator="equal" dxfId="2">
      <formula>"OK"</formula>
    </cfRule>
    <cfRule type="cellIs" priority="20" operator="equal" dxfId="4">
      <formula>"REVIEW"</formula>
    </cfRule>
  </conditionalFormatting>
  <conditionalFormatting sqref="E35">
    <cfRule type="cellIs" priority="21" operator="equal" dxfId="2">
      <formula>"OK"</formula>
    </cfRule>
    <cfRule type="cellIs" priority="22" operator="equal" dxfId="4">
      <formula>"REVIEW"</formula>
    </cfRule>
  </conditionalFormatting>
  <conditionalFormatting sqref="E36">
    <cfRule type="cellIs" priority="23" operator="equal" dxfId="2">
      <formula>"OK"</formula>
    </cfRule>
    <cfRule type="cellIs" priority="24" operator="equal" dxfId="4">
      <formula>"REVIEW"</formula>
    </cfRule>
  </conditionalFormatting>
  <conditionalFormatting sqref="E37">
    <cfRule type="cellIs" priority="25" operator="equal" dxfId="2">
      <formula>"OK"</formula>
    </cfRule>
    <cfRule type="cellIs" priority="26" operator="equal" dxfId="4">
      <formula>"REVIEW"</formula>
    </cfRule>
  </conditionalFormatting>
  <printOptions horizontalCentered="1"/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G4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2" customWidth="1" min="4" max="4"/>
    <col width="11" customWidth="1" min="5" max="5"/>
    <col width="13" customWidth="1" min="6" max="6"/>
    <col width="62" customWidth="1" min="7" max="7"/>
  </cols>
  <sheetData>
    <row r="1" ht="22" customHeight="1">
      <c r="A1" s="1" t="inlineStr">
        <is>
          <t>Solid track — DCHX sizing (docs 20–22)</t>
        </is>
      </c>
    </row>
    <row r="2">
      <c r="A2" s="2" t="inlineStr">
        <is>
          <t>Duty → sorbent inventory → coated area → condensate balance, with the F3 effective-Δq penalty applied explicitly rather than buried.</t>
        </is>
      </c>
    </row>
    <row r="4" ht="16" customHeight="1">
      <c r="A4" s="7" t="inlineStr">
        <is>
          <t>DUTY (from the Model 00§4 sheet — cabin-draw solution)</t>
        </is>
      </c>
      <c r="B4" s="5" t="n"/>
      <c r="C4" s="5" t="n"/>
      <c r="D4" s="5" t="n"/>
      <c r="E4" s="5" t="n"/>
      <c r="F4" s="5" t="n"/>
      <c r="G4" s="6" t="n"/>
    </row>
    <row r="5">
      <c r="A5" s="3" t="inlineStr">
        <is>
          <t>Peak sorbent duty</t>
        </is>
      </c>
      <c r="B5" s="25" t="n">
        <v>10</v>
      </c>
      <c r="C5" s="4" t="inlineStr">
        <is>
          <t>kg/h</t>
        </is>
      </c>
      <c r="D5" s="2" t="inlineStr">
        <is>
          <t>Published band 9–11 kg/h (F1); the model sheet re-derives it</t>
        </is>
      </c>
    </row>
    <row r="6">
      <c r="A6" s="3" t="inlineStr">
        <is>
          <t>Half-cycle time</t>
        </is>
      </c>
      <c r="B6" s="25" t="n">
        <v>10</v>
      </c>
      <c r="C6" s="4" t="inlineStr">
        <is>
          <t>min</t>
        </is>
      </c>
      <c r="D6" s="2" t="inlineStr">
        <is>
          <t>Throughput is governed by cycle time and coated area, not mass</t>
        </is>
      </c>
    </row>
    <row r="7">
      <c r="A7" s="3" t="inlineStr">
        <is>
          <t>Water per half-cycle</t>
        </is>
      </c>
      <c r="B7" s="18">
        <f>B5*B6/60</f>
        <v/>
      </c>
      <c r="C7" s="4" t="inlineStr">
        <is>
          <t>kg</t>
        </is>
      </c>
      <c r="D7" s="2" t="inlineStr"/>
    </row>
    <row r="8">
      <c r="A8" s="3" t="inlineStr">
        <is>
          <t>Modules alternating</t>
        </is>
      </c>
      <c r="B8" s="25" t="n">
        <v>2</v>
      </c>
      <c r="C8" s="4" t="inlineStr">
        <is>
          <t>—</t>
        </is>
      </c>
      <c r="D8" s="2" t="inlineStr">
        <is>
          <t>One adsorbing while the other regenerates</t>
        </is>
      </c>
    </row>
    <row r="10" ht="16" customHeight="1">
      <c r="A10" s="7" t="inlineStr">
        <is>
          <t>SORBENT INVENTORY — the F3 penalty made explicit</t>
        </is>
      </c>
      <c r="B10" s="5" t="n"/>
      <c r="C10" s="5" t="n"/>
      <c r="D10" s="5" t="n"/>
      <c r="E10" s="5" t="n"/>
      <c r="F10" s="5" t="n"/>
      <c r="G10" s="6" t="n"/>
    </row>
    <row r="11">
      <c r="A11" s="15" t="inlineStr">
        <is>
          <t>Basis</t>
        </is>
      </c>
      <c r="B11" s="15" t="inlineStr">
        <is>
          <t>Δq (g/g)</t>
        </is>
      </c>
      <c r="C11" s="15" t="inlineStr">
        <is>
          <t>Inventory (kg)</t>
        </is>
      </c>
      <c r="D11" s="15" t="inlineStr">
        <is>
          <t>Coated area (m²)</t>
        </is>
      </c>
      <c r="E11" s="15" t="inlineStr">
        <is>
          <t>vs envelope-only</t>
        </is>
      </c>
      <c r="F11" s="15" t="inlineStr">
        <is>
          <t>Grade</t>
        </is>
      </c>
      <c r="G11" s="15" t="inlineStr">
        <is>
          <t>Note</t>
        </is>
      </c>
    </row>
    <row r="12">
      <c r="A12" s="3" t="inlineStr">
        <is>
          <t>Envelope-only (cautionary row)</t>
        </is>
      </c>
      <c r="B12" s="27" t="n">
        <v>0.25</v>
      </c>
      <c r="C12" s="26">
        <f>2.5*B6/60/B12*B8</f>
        <v/>
      </c>
      <c r="D12" s="26">
        <f>C12/0.18</f>
        <v/>
      </c>
      <c r="E12" s="32">
        <f>IF($C$12=0,"",C12/$C$12)</f>
        <v/>
      </c>
      <c r="F12" s="4" t="inlineStr">
        <is>
          <t>superseded</t>
        </is>
      </c>
      <c r="G12" s="2" t="inlineStr">
        <is>
          <t>The naive sizing error: ignores where the sensible heat goes</t>
        </is>
      </c>
    </row>
    <row r="13">
      <c r="A13" s="3" t="inlineStr">
        <is>
          <t>Self-consistent peak, dry-purge Δq</t>
        </is>
      </c>
      <c r="B13" s="27" t="n">
        <v>0.25</v>
      </c>
      <c r="C13" s="26">
        <f>B7/B13*B8</f>
        <v/>
      </c>
      <c r="D13" s="26">
        <f>C13/0.18</f>
        <v/>
      </c>
      <c r="E13" s="32">
        <f>IF($C$12=0,"",C13/$C$12)</f>
        <v/>
      </c>
      <c r="F13" s="4" t="inlineStr">
        <is>
          <t>sizing-grade</t>
        </is>
      </c>
      <c r="G13" s="2" t="inlineStr">
        <is>
          <t>Published 0.2–0.3 g/g — a DRY-PURGE full-swing figure (F3)</t>
        </is>
      </c>
    </row>
    <row r="14">
      <c r="A14" s="3" t="inlineStr">
        <is>
          <t>Self-consistent peak, effective Δq</t>
        </is>
      </c>
      <c r="B14" s="27" t="n">
        <v>0.175</v>
      </c>
      <c r="C14" s="26">
        <f>B7/B14*B8</f>
        <v/>
      </c>
      <c r="D14" s="26">
        <f>C14/0.18</f>
        <v/>
      </c>
      <c r="E14" s="32">
        <f>IF($C$12=0,"",C14/$C$12)</f>
        <v/>
      </c>
      <c r="F14" s="4" t="inlineStr">
        <is>
          <t>PENDING M2</t>
        </is>
      </c>
      <c r="G14" s="2" t="inlineStr">
        <is>
          <t>0.15–0.2 g/g after a 0.05–0.10 g/g residual at 60–65 °C — the real sizing number</t>
        </is>
      </c>
    </row>
    <row r="15">
      <c r="A15" s="3" t="inlineStr">
        <is>
          <t>Conservative (Δq floor)</t>
        </is>
      </c>
      <c r="B15" s="27" t="n">
        <v>0.15</v>
      </c>
      <c r="C15" s="26">
        <f>B7/B15*B8</f>
        <v/>
      </c>
      <c r="D15" s="26">
        <f>C15/0.18</f>
        <v/>
      </c>
      <c r="E15" s="32">
        <f>IF($C$12=0,"",C15/$C$12)</f>
        <v/>
      </c>
      <c r="F15" s="4" t="inlineStr">
        <is>
          <t>PENDING M2</t>
        </is>
      </c>
      <c r="G15" s="2" t="inlineStr">
        <is>
          <t>The bottom of the F3 band</t>
        </is>
      </c>
    </row>
    <row r="16">
      <c r="A16" s="2" t="inlineStr">
        <is>
          <t>Doc 22 §4 states the self-consistent charge is 3–5× the envelope-only row (~3–4 kg / 10–13 m²), then +25–50% again once F3 compounds. The envelope-only inventory reproduces at 0.18 kg/m² planform (doc 22 §2), but the published 10–13 m² for that 3–4 kg implies ~0.3 kg/m² — the coated-area column therefore does not reconcile with the stated loading. See CHK-013.</t>
        </is>
      </c>
    </row>
    <row r="18" ht="16" customHeight="1">
      <c r="A18" s="7" t="inlineStr">
        <is>
          <t>ENERGY &amp; WATER BALANCE</t>
        </is>
      </c>
      <c r="B18" s="5" t="n"/>
      <c r="C18" s="5" t="n"/>
      <c r="D18" s="5" t="n"/>
      <c r="E18" s="5" t="n"/>
      <c r="F18" s="5" t="n"/>
      <c r="G18" s="6" t="n"/>
    </row>
    <row r="19">
      <c r="A19" s="15" t="inlineStr">
        <is>
          <t>Term</t>
        </is>
      </c>
      <c r="B19" s="15" t="inlineStr">
        <is>
          <t>Calculated</t>
        </is>
      </c>
      <c r="C19" s="15" t="inlineStr">
        <is>
          <t>Published</t>
        </is>
      </c>
      <c r="D19" s="15" t="inlineStr">
        <is>
          <t>Δ</t>
        </is>
      </c>
      <c r="E19" s="15" t="inlineStr">
        <is>
          <t>Check</t>
        </is>
      </c>
      <c r="F19" s="15" t="inlineStr">
        <is>
          <t>Unit</t>
        </is>
      </c>
      <c r="G19" s="15" t="inlineStr">
        <is>
          <t>Basis</t>
        </is>
      </c>
    </row>
    <row r="20">
      <c r="A20" s="3" t="inlineStr">
        <is>
          <t>Latent floor of desorption</t>
        </is>
      </c>
      <c r="B20" s="20">
        <f>B5*0.67</f>
        <v/>
      </c>
      <c r="C20" s="29" t="n">
        <v>6.7</v>
      </c>
      <c r="D20" s="22">
        <f>IF(C20=0,"",(B20-C20)/C20)</f>
        <v/>
      </c>
      <c r="E20" s="23">
        <f>IF(C20=0,"—",IF(ABS(D20)&lt;=0.1,"OK","REVIEW"))</f>
        <v/>
      </c>
      <c r="F20" s="4" t="inlineStr">
        <is>
          <t>kW</t>
        </is>
      </c>
      <c r="G20" s="2" t="inlineStr">
        <is>
          <t>0.67 kWh/L — material-independent, 70–85% of the input</t>
        </is>
      </c>
    </row>
    <row r="21">
      <c r="A21" s="3" t="inlineStr">
        <is>
          <t>Regeneration heat, total</t>
        </is>
      </c>
      <c r="B21" s="20">
        <f>B5*E_SPEC_S</f>
        <v/>
      </c>
      <c r="C21" s="29" t="n">
        <v>8.25</v>
      </c>
      <c r="D21" s="22">
        <f>IF(C21=0,"",(B21-C21)/C21)</f>
        <v/>
      </c>
      <c r="E21" s="23">
        <f>IF(C21=0,"—",IF(ABS(D21)&lt;=0.1,"OK","REVIEW"))</f>
        <v/>
      </c>
      <c r="F21" s="4" t="inlineStr">
        <is>
          <t>kW</t>
        </is>
      </c>
      <c r="G21" s="2" t="inlineStr">
        <is>
          <t>0.85 kWh/L × duty; published band 7.5–9 kW</t>
        </is>
      </c>
    </row>
    <row r="22">
      <c r="A22" s="3" t="inlineStr">
        <is>
          <t>Daily regeneration heat</t>
        </is>
      </c>
      <c r="B22" s="20">
        <f>B21*24</f>
        <v/>
      </c>
      <c r="C22" s="29" t="n">
        <v>198</v>
      </c>
      <c r="D22" s="22">
        <f>IF(C22=0,"",(B22-C22)/C22)</f>
        <v/>
      </c>
      <c r="E22" s="23">
        <f>IF(C22=0,"—",IF(ABS(D22)&lt;=0.1,"OK","REVIEW"))</f>
        <v/>
      </c>
      <c r="F22" s="4" t="inlineStr">
        <is>
          <t>kWh/day</t>
        </is>
      </c>
      <c r="G22" s="2" t="inlineStr">
        <is>
          <t>Continuous duty at DP-A — why this track is waste-heat-coupled</t>
        </is>
      </c>
    </row>
    <row r="23">
      <c r="A23" s="3" t="inlineStr">
        <is>
          <t>Moisture desorbed per day</t>
        </is>
      </c>
      <c r="B23" s="20">
        <f>B5*24</f>
        <v/>
      </c>
      <c r="C23" s="29" t="n"/>
      <c r="D23" s="22">
        <f>IF(C23=0,"",(B23-C23)/C23)</f>
        <v/>
      </c>
      <c r="E23" s="23">
        <f>IF(C23=0,"—",IF(ABS(D23)&lt;=0.1,"OK","REVIEW"))</f>
        <v/>
      </c>
      <c r="F23" s="4" t="inlineStr">
        <is>
          <t>L/day</t>
        </is>
      </c>
      <c r="G23" s="2" t="inlineStr">
        <is>
          <t>Doc 20 §5 publishes 150–220 L/day of RECOVERED condensate. The desorbed total is higher because part of the moisture leaves with the ventilation exhaust rather than reaching the condenser train</t>
        </is>
      </c>
    </row>
    <row r="24">
      <c r="A24" s="3" t="inlineStr">
        <is>
          <t>Condensate recovered (published basis)</t>
        </is>
      </c>
      <c r="B24" s="20" t="n">
        <v>185</v>
      </c>
      <c r="C24" s="29" t="n"/>
      <c r="D24" s="22">
        <f>IF(C24=0,"",(B24-C24)/C24)</f>
        <v/>
      </c>
      <c r="E24" s="23">
        <f>IF(C24=0,"—",IF(ABS(D24)&lt;=0.1,"OK","REVIEW"))</f>
        <v/>
      </c>
      <c r="F24" s="4" t="inlineStr">
        <is>
          <t>L/day</t>
        </is>
      </c>
      <c r="G24" s="2" t="inlineStr">
        <is>
          <t>Midpoint of the published 150–220 L/day</t>
        </is>
      </c>
    </row>
    <row r="25">
      <c r="A25" s="3" t="inlineStr">
        <is>
          <t>Potable-grade surplus</t>
        </is>
      </c>
      <c r="B25" s="20" t="n">
        <v>60</v>
      </c>
      <c r="C25" s="29" t="n"/>
      <c r="D25" s="22">
        <f>IF(C25=0,"",(B25-C25)/C25)</f>
        <v/>
      </c>
      <c r="E25" s="23">
        <f>IF(C25=0,"—",IF(ABS(D25)&lt;=0.1,"OK","REVIEW"))</f>
        <v/>
      </c>
      <c r="F25" s="4" t="inlineStr">
        <is>
          <t>L/day</t>
        </is>
      </c>
      <c r="G25" s="2" t="inlineStr">
        <is>
          <t>Published 50–70 L/day: the gains + ventilation terms</t>
        </is>
      </c>
    </row>
    <row r="26">
      <c r="A26" s="3" t="inlineStr">
        <is>
          <t>M-cycle wet-channel feed</t>
        </is>
      </c>
      <c r="B26" s="20">
        <f>B24-B25</f>
        <v/>
      </c>
      <c r="C26" s="29" t="n"/>
      <c r="D26" s="22">
        <f>IF(C26=0,"",(B26-C26)/C26)</f>
        <v/>
      </c>
      <c r="E26" s="23">
        <f>IF(C26=0,"—",IF(ABS(D26)&lt;=0.1,"OK","REVIEW"))</f>
        <v/>
      </c>
      <c r="F26" s="4" t="inlineStr">
        <is>
          <t>L/day</t>
        </is>
      </c>
      <c r="G26" s="2" t="inlineStr">
        <is>
          <t>What the condensate must cover for the loop to close</t>
        </is>
      </c>
    </row>
    <row r="27">
      <c r="A27" s="3" t="inlineStr">
        <is>
          <t>DHW heat recoverable</t>
        </is>
      </c>
      <c r="B27" s="20" t="n">
        <v>2</v>
      </c>
      <c r="C27" s="29" t="n"/>
      <c r="D27" s="22">
        <f>IF(C27=0,"",(B27-C27)/C27)</f>
        <v/>
      </c>
      <c r="E27" s="23">
        <f>IF(C27=0,"—",IF(ABS(D27)&lt;=0.1,"OK","REVIEW"))</f>
        <v/>
      </c>
      <c r="F27" s="4" t="inlineStr">
        <is>
          <t>kWh/day</t>
        </is>
      </c>
      <c r="G27" s="2" t="inlineStr">
        <is>
          <t>Demand-capped 1–3 kWh/day — first in the doc 00 §7 rule-4 recapture order</t>
        </is>
      </c>
    </row>
    <row r="28">
      <c r="A28" s="3" t="inlineStr">
        <is>
          <t>DHW recovery as a fraction of input</t>
        </is>
      </c>
      <c r="B28" s="20">
        <f>B27/(B21*24)</f>
        <v/>
      </c>
      <c r="C28" s="29" t="n"/>
      <c r="D28" s="22">
        <f>IF(C28=0,"",(B28-C28)/C28)</f>
        <v/>
      </c>
      <c r="E28" s="23">
        <f>IF(C28=0,"—",IF(ABS(D28)&lt;=0.1,"OK","REVIEW"))</f>
        <v/>
      </c>
      <c r="F28" s="4" t="inlineStr">
        <is>
          <t>—</t>
        </is>
      </c>
      <c r="G28" s="2" t="inlineStr">
        <is>
          <t>Doc 20 §3 quotes '~10–15% recoverable as useful energy' but the DHW cap it cites in the same sentence (1–3 kWh/day) is only ~1% of the daily regeneration input at this duty. The two statements are on different bases — see CHK-015</t>
        </is>
      </c>
    </row>
    <row r="30" ht="16" customHeight="1">
      <c r="A30" s="7" t="inlineStr">
        <is>
          <t>REGENERATION AGAINST HUMID PURGE — why 60–65 °C, not 50 °C (F2)</t>
        </is>
      </c>
      <c r="B30" s="5" t="n"/>
      <c r="C30" s="5" t="n"/>
      <c r="D30" s="5" t="n"/>
      <c r="E30" s="5" t="n"/>
      <c r="F30" s="5" t="n"/>
      <c r="G30" s="6" t="n"/>
    </row>
    <row r="31">
      <c r="A31" s="15" t="inlineStr">
        <is>
          <t>Bed temperature (°C)</t>
        </is>
      </c>
      <c r="B31" s="15" t="inlineStr">
        <is>
          <t>P_sat at bed (kPa)</t>
        </is>
      </c>
      <c r="C31" s="15" t="inlineStr">
        <is>
          <t>Purge P_v (kPa)</t>
        </is>
      </c>
      <c r="D31" s="15" t="inlineStr">
        <is>
          <t>RH at bed face</t>
        </is>
      </c>
      <c r="E31" s="15" t="inlineStr">
        <is>
          <t>Doc 20 §6</t>
        </is>
      </c>
      <c r="F31" s="15" t="inlineStr">
        <is>
          <t>vs AlFu step ~25–30%</t>
        </is>
      </c>
      <c r="G31" s="15" t="inlineStr">
        <is>
          <t>Verdict</t>
        </is>
      </c>
    </row>
    <row r="32">
      <c r="A32" s="19" t="n">
        <v>45</v>
      </c>
      <c r="B32" s="18">
        <f>(MAG_A*EXP(MAG_B*A32/(A32+MAG_C)))</f>
        <v/>
      </c>
      <c r="C32" s="20">
        <f>(P_atm*SD_W_PURGE/1000/(RATIO_MW+SD_W_PURGE/1000))</f>
        <v/>
      </c>
      <c r="D32" s="22">
        <f>C32/B32</f>
        <v/>
      </c>
      <c r="E32" s="33" t="n">
        <v>0.38</v>
      </c>
      <c r="F32" s="23">
        <f>IF(D32&gt;=0.30,"above the step","" ) &amp; IF(AND(D32&lt;0.30,D32&gt;=0.25),"on the step","") &amp; IF(D32&lt;0.25,"below the step","")</f>
        <v/>
      </c>
      <c r="G32" s="23">
        <f>IF(D32&gt;=0.30,"zero driving force",IF(D32&gt;=0.25,"marginal","works"))</f>
        <v/>
      </c>
    </row>
    <row r="33">
      <c r="A33" s="19" t="n">
        <v>50</v>
      </c>
      <c r="B33" s="18">
        <f>(MAG_A*EXP(MAG_B*A33/(A33+MAG_C)))</f>
        <v/>
      </c>
      <c r="C33" s="20">
        <f>(P_atm*SD_W_PURGE/1000/(RATIO_MW+SD_W_PURGE/1000))</f>
        <v/>
      </c>
      <c r="D33" s="22">
        <f>C33/B33</f>
        <v/>
      </c>
      <c r="E33" s="33" t="n">
        <v>0.29</v>
      </c>
      <c r="F33" s="23">
        <f>IF(D33&gt;=0.30,"above the step","" ) &amp; IF(AND(D33&lt;0.30,D33&gt;=0.25),"on the step","") &amp; IF(D33&lt;0.25,"below the step","")</f>
        <v/>
      </c>
      <c r="G33" s="23">
        <f>IF(D33&gt;=0.30,"zero driving force",IF(D33&gt;=0.25,"marginal","works"))</f>
        <v/>
      </c>
    </row>
    <row r="34">
      <c r="A34" s="19" t="n">
        <v>55</v>
      </c>
      <c r="B34" s="18">
        <f>(MAG_A*EXP(MAG_B*A34/(A34+MAG_C)))</f>
        <v/>
      </c>
      <c r="C34" s="20">
        <f>(P_atm*SD_W_PURGE/1000/(RATIO_MW+SD_W_PURGE/1000))</f>
        <v/>
      </c>
      <c r="D34" s="22">
        <f>C34/B34</f>
        <v/>
      </c>
      <c r="E34" s="33" t="inlineStr"/>
      <c r="F34" s="23">
        <f>IF(D34&gt;=0.30,"above the step","" ) &amp; IF(AND(D34&lt;0.30,D34&gt;=0.25),"on the step","") &amp; IF(D34&lt;0.25,"below the step","")</f>
        <v/>
      </c>
      <c r="G34" s="23">
        <f>IF(D34&gt;=0.30,"zero driving force",IF(D34&gt;=0.25,"marginal","works"))</f>
        <v/>
      </c>
    </row>
    <row r="35">
      <c r="A35" s="19" t="n">
        <v>60</v>
      </c>
      <c r="B35" s="18">
        <f>(MAG_A*EXP(MAG_B*A35/(A35+MAG_C)))</f>
        <v/>
      </c>
      <c r="C35" s="20">
        <f>(P_atm*SD_W_PURGE/1000/(RATIO_MW+SD_W_PURGE/1000))</f>
        <v/>
      </c>
      <c r="D35" s="22">
        <f>C35/B35</f>
        <v/>
      </c>
      <c r="E35" s="33" t="n">
        <v>0.17</v>
      </c>
      <c r="F35" s="23">
        <f>IF(D35&gt;=0.30,"above the step","" ) &amp; IF(AND(D35&lt;0.30,D35&gt;=0.25),"on the step","") &amp; IF(D35&lt;0.25,"below the step","")</f>
        <v/>
      </c>
      <c r="G35" s="23">
        <f>IF(D35&gt;=0.30,"zero driving force",IF(D35&gt;=0.25,"marginal","works"))</f>
        <v/>
      </c>
    </row>
    <row r="36">
      <c r="A36" s="19" t="n">
        <v>65</v>
      </c>
      <c r="B36" s="18">
        <f>(MAG_A*EXP(MAG_B*A36/(A36+MAG_C)))</f>
        <v/>
      </c>
      <c r="C36" s="20">
        <f>(P_atm*SD_W_PURGE/1000/(RATIO_MW+SD_W_PURGE/1000))</f>
        <v/>
      </c>
      <c r="D36" s="22">
        <f>C36/B36</f>
        <v/>
      </c>
      <c r="E36" s="33" t="n">
        <v>0.13</v>
      </c>
      <c r="F36" s="23">
        <f>IF(D36&gt;=0.30,"above the step","" ) &amp; IF(AND(D36&lt;0.30,D36&gt;=0.25),"on the step","") &amp; IF(D36&lt;0.25,"below the step","")</f>
        <v/>
      </c>
      <c r="G36" s="23">
        <f>IF(D36&gt;=0.30,"zero driving force",IF(D36&gt;=0.25,"marginal","works"))</f>
        <v/>
      </c>
    </row>
    <row r="37">
      <c r="A37" s="19" t="n">
        <v>70</v>
      </c>
      <c r="B37" s="18">
        <f>(MAG_A*EXP(MAG_B*A37/(A37+MAG_C)))</f>
        <v/>
      </c>
      <c r="C37" s="20">
        <f>(P_atm*SD_W_PURGE/1000/(RATIO_MW+SD_W_PURGE/1000))</f>
        <v/>
      </c>
      <c r="D37" s="22">
        <f>C37/B37</f>
        <v/>
      </c>
      <c r="E37" s="33" t="inlineStr"/>
      <c r="F37" s="23">
        <f>IF(D37&gt;=0.30,"above the step","" ) &amp; IF(AND(D37&lt;0.30,D37&gt;=0.25),"on the step","") &amp; IF(D37&lt;0.25,"below the step","")</f>
        <v/>
      </c>
      <c r="G37" s="23">
        <f>IF(D37&gt;=0.30,"zero driving force",IF(D37&gt;=0.25,"marginal","works"))</f>
        <v/>
      </c>
    </row>
    <row r="38">
      <c r="A38" s="3" t="inlineStr">
        <is>
          <t>Purge humidity ω (condensing purge)</t>
        </is>
      </c>
      <c r="B38" s="24" t="n">
        <v>25</v>
      </c>
      <c r="C38" s="4" t="inlineStr">
        <is>
          <t>g/kg</t>
        </is>
      </c>
      <c r="D38" s="2" t="inlineStr">
        <is>
          <t>The single input that decides the whole heat-source question. AlFu's often-quoted '~50 °C regeneration' is a DRY-purge figure and does not transfer. M2 is run against a logged ~24 g/kg purge, never dry lab air. Note: doc 20 §6's own RH column back-solves to ~23 g/kg rather than the ~25 g/kg its text states — at 23 g/kg the 50 °C row reads 29% and is 'on the step' rather than above it (CHK-012).</t>
        </is>
      </c>
    </row>
    <row r="39"/>
    <row r="41" ht="16" customHeight="1">
      <c r="A41" s="7" t="inlineStr">
        <is>
          <t>SYNTHESIS SCALING (doc 21 §3, aqueous route) — 1 Al : 1 fumarate : 2 NaOH</t>
        </is>
      </c>
      <c r="B41" s="5" t="n"/>
      <c r="C41" s="5" t="n"/>
      <c r="D41" s="5" t="n"/>
      <c r="E41" s="5" t="n"/>
      <c r="F41" s="5" t="n"/>
      <c r="G41" s="6" t="n"/>
    </row>
    <row r="42">
      <c r="A42" s="15" t="inlineStr">
        <is>
          <t>Reagent</t>
        </is>
      </c>
      <c r="B42" s="15" t="inlineStr">
        <is>
          <t>MW (g/mol)</t>
        </is>
      </c>
      <c r="C42" s="15" t="inlineStr">
        <is>
          <t>Validation ~19 g</t>
        </is>
      </c>
      <c r="D42" s="15" t="inlineStr">
        <is>
          <t>Bench ~75 g</t>
        </is>
      </c>
      <c r="E42" s="15" t="inlineStr">
        <is>
          <t>Scaled to charge</t>
        </is>
      </c>
      <c r="F42" s="15" t="inlineStr">
        <is>
          <t>Unit</t>
        </is>
      </c>
      <c r="G42" s="15" t="inlineStr">
        <is>
          <t>Note</t>
        </is>
      </c>
    </row>
    <row r="43">
      <c r="A43" s="3" t="inlineStr">
        <is>
          <t>Al₂(SO₄)₃·18H₂O</t>
        </is>
      </c>
      <c r="B43" s="34" t="n">
        <v>666.4299999999999</v>
      </c>
      <c r="C43" s="21" t="n">
        <v>41.7</v>
      </c>
      <c r="D43" s="21" t="n">
        <v>166.6</v>
      </c>
      <c r="E43" s="26">
        <f>D43*$B$48/0.075</f>
        <v/>
      </c>
      <c r="F43" s="4" t="inlineStr">
        <is>
          <t>g</t>
        </is>
      </c>
      <c r="G43" s="2" t="inlineStr">
        <is>
          <t>Verify hydrate assay per lot COA</t>
        </is>
      </c>
    </row>
    <row r="44">
      <c r="A44" s="3" t="inlineStr">
        <is>
          <t>Fumaric acid</t>
        </is>
      </c>
      <c r="B44" s="34" t="n">
        <v>116.07</v>
      </c>
      <c r="C44" s="21" t="n">
        <v>14.5</v>
      </c>
      <c r="D44" s="21" t="n">
        <v>58</v>
      </c>
      <c r="E44" s="26">
        <f>D44*$B$48/0.075</f>
        <v/>
      </c>
      <c r="F44" s="4" t="inlineStr">
        <is>
          <t>g</t>
        </is>
      </c>
      <c r="G44" s="2" t="inlineStr">
        <is>
          <t>FCC / E297 grade</t>
        </is>
      </c>
    </row>
    <row r="45">
      <c r="A45" s="3" t="inlineStr">
        <is>
          <t>NaOH</t>
        </is>
      </c>
      <c r="B45" s="34" t="n">
        <v>40</v>
      </c>
      <c r="C45" s="21" t="n">
        <v>10</v>
      </c>
      <c r="D45" s="21" t="n">
        <v>40</v>
      </c>
      <c r="E45" s="26">
        <f>D45*$B$48/0.075</f>
        <v/>
      </c>
      <c r="F45" s="4" t="inlineStr">
        <is>
          <t>g</t>
        </is>
      </c>
      <c r="G45" s="2" t="inlineStr">
        <is>
          <t>Add to water slowly — strongly exothermic</t>
        </is>
      </c>
    </row>
    <row r="46">
      <c r="A46" s="3" t="inlineStr">
        <is>
          <t>DI water</t>
        </is>
      </c>
      <c r="B46" s="34" t="n"/>
      <c r="C46" s="21" t="n">
        <v>190</v>
      </c>
      <c r="D46" s="21" t="n">
        <v>750</v>
      </c>
      <c r="E46" s="26">
        <f>D46*$B$48/0.075</f>
        <v/>
      </c>
      <c r="F46" s="4" t="inlineStr">
        <is>
          <t>mL</t>
        </is>
      </c>
      <c r="G46" s="2" t="inlineStr">
        <is>
          <t>mL, not g</t>
        </is>
      </c>
    </row>
    <row r="47">
      <c r="A47" s="2" t="inlineStr">
        <is>
          <t>Mole check (bench): 0.50 mol Al : 0.50 mol fumarate : 1.00 mol NaOH = 1 : 1 : 2</t>
        </is>
      </c>
    </row>
    <row r="48">
      <c r="A48" s="3" t="inlineStr">
        <is>
          <t>Target MOF mass</t>
        </is>
      </c>
      <c r="B48" s="16" t="n">
        <v>2.5</v>
      </c>
      <c r="C48" s="4" t="inlineStr">
        <is>
          <t>kg</t>
        </is>
      </c>
      <c r="D48" s="2" t="inlineStr">
        <is>
          <t>Full charge is ~2.5 kg indicative; hand-grinding does not scale to it</t>
        </is>
      </c>
    </row>
  </sheetData>
  <mergeCells count="10">
    <mergeCell ref="A1:G1"/>
    <mergeCell ref="A18:G18"/>
    <mergeCell ref="A47:G47"/>
    <mergeCell ref="A4:G4"/>
    <mergeCell ref="D38:G39"/>
    <mergeCell ref="A30:G30"/>
    <mergeCell ref="A16:G16"/>
    <mergeCell ref="A2:G2"/>
    <mergeCell ref="A41:G41"/>
    <mergeCell ref="A10:G10"/>
  </mergeCells>
  <conditionalFormatting sqref="E20">
    <cfRule type="cellIs" priority="1" operator="equal" dxfId="2">
      <formula>"OK"</formula>
    </cfRule>
    <cfRule type="cellIs" priority="2" operator="equal" dxfId="4">
      <formula>"REVIEW"</formula>
    </cfRule>
  </conditionalFormatting>
  <conditionalFormatting sqref="E21">
    <cfRule type="cellIs" priority="3" operator="equal" dxfId="2">
      <formula>"OK"</formula>
    </cfRule>
    <cfRule type="cellIs" priority="4" operator="equal" dxfId="4">
      <formula>"REVIEW"</formula>
    </cfRule>
  </conditionalFormatting>
  <conditionalFormatting sqref="E22">
    <cfRule type="cellIs" priority="5" operator="equal" dxfId="2">
      <formula>"OK"</formula>
    </cfRule>
    <cfRule type="cellIs" priority="6" operator="equal" dxfId="4">
      <formula>"REVIEW"</formula>
    </cfRule>
  </conditionalFormatting>
  <conditionalFormatting sqref="E23">
    <cfRule type="cellIs" priority="7" operator="equal" dxfId="2">
      <formula>"OK"</formula>
    </cfRule>
    <cfRule type="cellIs" priority="8" operator="equal" dxfId="4">
      <formula>"REVIEW"</formula>
    </cfRule>
  </conditionalFormatting>
  <conditionalFormatting sqref="E24">
    <cfRule type="cellIs" priority="9" operator="equal" dxfId="2">
      <formula>"OK"</formula>
    </cfRule>
    <cfRule type="cellIs" priority="10" operator="equal" dxfId="4">
      <formula>"REVIEW"</formula>
    </cfRule>
  </conditionalFormatting>
  <conditionalFormatting sqref="E25">
    <cfRule type="cellIs" priority="11" operator="equal" dxfId="2">
      <formula>"OK"</formula>
    </cfRule>
    <cfRule type="cellIs" priority="12" operator="equal" dxfId="4">
      <formula>"REVIEW"</formula>
    </cfRule>
  </conditionalFormatting>
  <conditionalFormatting sqref="E26">
    <cfRule type="cellIs" priority="13" operator="equal" dxfId="2">
      <formula>"OK"</formula>
    </cfRule>
    <cfRule type="cellIs" priority="14" operator="equal" dxfId="4">
      <formula>"REVIEW"</formula>
    </cfRule>
  </conditionalFormatting>
  <conditionalFormatting sqref="E27">
    <cfRule type="cellIs" priority="15" operator="equal" dxfId="2">
      <formula>"OK"</formula>
    </cfRule>
    <cfRule type="cellIs" priority="16" operator="equal" dxfId="4">
      <formula>"REVIEW"</formula>
    </cfRule>
  </conditionalFormatting>
  <conditionalFormatting sqref="E28">
    <cfRule type="cellIs" priority="17" operator="equal" dxfId="2">
      <formula>"OK"</formula>
    </cfRule>
    <cfRule type="cellIs" priority="18" operator="equal" dxfId="4">
      <formula>"REVIEW"</formula>
    </cfRule>
  </conditionalFormatting>
  <conditionalFormatting sqref="G32">
    <cfRule type="cellIs" priority="19" operator="equal" dxfId="3">
      <formula>"zero driving force"</formula>
    </cfRule>
    <cfRule type="cellIs" priority="20" operator="equal" dxfId="2">
      <formula>"works"</formula>
    </cfRule>
    <cfRule type="cellIs" priority="21" operator="equal" dxfId="4">
      <formula>"marginal"</formula>
    </cfRule>
  </conditionalFormatting>
  <conditionalFormatting sqref="G33">
    <cfRule type="cellIs" priority="22" operator="equal" dxfId="3">
      <formula>"zero driving force"</formula>
    </cfRule>
    <cfRule type="cellIs" priority="23" operator="equal" dxfId="2">
      <formula>"works"</formula>
    </cfRule>
    <cfRule type="cellIs" priority="24" operator="equal" dxfId="4">
      <formula>"marginal"</formula>
    </cfRule>
  </conditionalFormatting>
  <conditionalFormatting sqref="G34">
    <cfRule type="cellIs" priority="25" operator="equal" dxfId="3">
      <formula>"zero driving force"</formula>
    </cfRule>
    <cfRule type="cellIs" priority="26" operator="equal" dxfId="2">
      <formula>"works"</formula>
    </cfRule>
    <cfRule type="cellIs" priority="27" operator="equal" dxfId="4">
      <formula>"marginal"</formula>
    </cfRule>
  </conditionalFormatting>
  <conditionalFormatting sqref="G35">
    <cfRule type="cellIs" priority="28" operator="equal" dxfId="3">
      <formula>"zero driving force"</formula>
    </cfRule>
    <cfRule type="cellIs" priority="29" operator="equal" dxfId="2">
      <formula>"works"</formula>
    </cfRule>
    <cfRule type="cellIs" priority="30" operator="equal" dxfId="4">
      <formula>"marginal"</formula>
    </cfRule>
  </conditionalFormatting>
  <conditionalFormatting sqref="G36">
    <cfRule type="cellIs" priority="31" operator="equal" dxfId="3">
      <formula>"zero driving force"</formula>
    </cfRule>
    <cfRule type="cellIs" priority="32" operator="equal" dxfId="2">
      <formula>"works"</formula>
    </cfRule>
    <cfRule type="cellIs" priority="33" operator="equal" dxfId="4">
      <formula>"marginal"</formula>
    </cfRule>
  </conditionalFormatting>
  <conditionalFormatting sqref="G37">
    <cfRule type="cellIs" priority="34" operator="equal" dxfId="3">
      <formula>"zero driving force"</formula>
    </cfRule>
    <cfRule type="cellIs" priority="35" operator="equal" dxfId="2">
      <formula>"works"</formula>
    </cfRule>
    <cfRule type="cellIs" priority="36" operator="equal" dxfId="4">
      <formula>"marginal"</formula>
    </cfRule>
  </conditionalFormatting>
  <printOptions horizontalCentered="1"/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H4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2" customWidth="1" min="4" max="4"/>
    <col width="11" customWidth="1" min="5" max="5"/>
    <col width="12" customWidth="1" min="6" max="6"/>
    <col width="13" customWidth="1" min="7" max="7"/>
    <col width="58" customWidth="1" min="8" max="8"/>
  </cols>
  <sheetData>
    <row r="1" ht="22" customHeight="1">
      <c r="A1" s="1" t="inlineStr">
        <is>
          <t>CO₂ &amp; ventilation — the four-layer stack (doc 00 §5, spec P17)</t>
        </is>
      </c>
    </row>
    <row r="2">
      <c r="A2" s="2" t="inlineStr">
        <is>
          <t>SAFETY-CRITICAL. &lt;1,000 ppm at all times in every mode including sealed; alarm and forced boost at 2,000 ppm; per-room maximum sensing; mechanical minimum stop.</t>
        </is>
      </c>
    </row>
    <row r="4" ht="16" customHeight="1">
      <c r="A4" s="7" t="inlineStr">
        <is>
          <t>DOSE–RESPONSE LADDER — c = c_out + 10⁶·V̇_CO₂/V̇_fresh</t>
        </is>
      </c>
      <c r="B4" s="5" t="n"/>
      <c r="C4" s="5" t="n"/>
      <c r="D4" s="5" t="n"/>
      <c r="E4" s="5" t="n"/>
      <c r="F4" s="5" t="n"/>
      <c r="G4" s="5" t="n"/>
      <c r="H4" s="6" t="n"/>
    </row>
    <row r="5">
      <c r="A5" s="15" t="inlineStr">
        <is>
          <t>Fresh air (m³/h)</t>
        </is>
      </c>
      <c r="B5" s="15" t="inlineStr">
        <is>
          <t>Per person (m³/h)</t>
        </is>
      </c>
      <c r="C5" s="15" t="inlineStr">
        <is>
          <t>CO₂ awake (ppm)</t>
        </is>
      </c>
      <c r="D5" s="15" t="inlineStr">
        <is>
          <t>Doc 00 §5</t>
        </is>
      </c>
      <c r="E5" s="15" t="inlineStr">
        <is>
          <t>Δ</t>
        </is>
      </c>
      <c r="F5" s="15" t="inlineStr">
        <is>
          <t>CO₂ asleep (ppm)</t>
        </is>
      </c>
      <c r="G5" s="15" t="inlineStr">
        <is>
          <t>vs spec</t>
        </is>
      </c>
      <c r="H5" s="15" t="inlineStr">
        <is>
          <t>Note</t>
        </is>
      </c>
    </row>
    <row r="6">
      <c r="A6" s="19" t="n">
        <v>124</v>
      </c>
      <c r="B6" s="26">
        <f>A6/N_OCC</f>
        <v/>
      </c>
      <c r="C6" s="30">
        <f>CO2_OUT+1000000*CO2_GEN/A6</f>
        <v/>
      </c>
      <c r="D6" s="31" t="inlineStr"/>
      <c r="E6" s="22">
        <f>IF(D6="","",(C6-D6)/D6)</f>
        <v/>
      </c>
      <c r="F6" s="30">
        <f>CO2_OUT+1000000*0.047/A6</f>
        <v/>
      </c>
      <c r="G6" s="23">
        <f>IF(C6&lt;=CO2_SPEC,"PASS",IF(C6&gt;=2000,"ALARM","OVER SPEC"))</f>
        <v/>
      </c>
      <c r="H6" s="2" t="inlineStr">
        <is>
          <t>X8 mode: ventilation sized for the spec, +10–15% duty at solid-track scale</t>
        </is>
      </c>
    </row>
    <row r="7">
      <c r="A7" s="19" t="n">
        <v>91</v>
      </c>
      <c r="B7" s="26">
        <f>A7/N_OCC</f>
        <v/>
      </c>
      <c r="C7" s="30">
        <f>CO2_OUT+1000000*CO2_GEN/A7</f>
        <v/>
      </c>
      <c r="D7" s="31" t="inlineStr"/>
      <c r="E7" s="22">
        <f>IF(D7="","",(C7-D7)/D7)</f>
        <v/>
      </c>
      <c r="F7" s="30">
        <f>CO2_OUT+1000000*0.047/A7</f>
        <v/>
      </c>
      <c r="G7" s="23">
        <f>IF(C7&lt;=CO2_SPEC,"PASS",IF(C7&gt;=2000,"ALARM","OVER SPEC"))</f>
        <v/>
      </c>
      <c r="H7" s="2" t="inlineStr"/>
    </row>
    <row r="8">
      <c r="A8" s="19" t="n">
        <v>48</v>
      </c>
      <c r="B8" s="26">
        <f>A8/N_OCC</f>
        <v/>
      </c>
      <c r="C8" s="30">
        <f>CO2_OUT+1000000*CO2_GEN/A8</f>
        <v/>
      </c>
      <c r="D8" s="31" t="n">
        <v>1920</v>
      </c>
      <c r="E8" s="22">
        <f>IF(D8="","",(C8-D8)/D8)</f>
        <v/>
      </c>
      <c r="F8" s="30">
        <f>CO2_OUT+1000000*0.047/A8</f>
        <v/>
      </c>
      <c r="G8" s="23">
        <f>IF(C8&lt;=CO2_SPEC,"PASS",IF(C8&gt;=2000,"ALARM","OVER SPEC"))</f>
        <v/>
      </c>
      <c r="H8" s="2" t="inlineStr">
        <is>
          <t>The ventilation floor — above spec on its own; the layer stack closes it</t>
        </is>
      </c>
    </row>
    <row r="9">
      <c r="A9" s="19" t="n">
        <v>36</v>
      </c>
      <c r="B9" s="26">
        <f>A9/N_OCC</f>
        <v/>
      </c>
      <c r="C9" s="30">
        <f>CO2_OUT+1000000*CO2_GEN/A9</f>
        <v/>
      </c>
      <c r="D9" s="31" t="n">
        <v>2420</v>
      </c>
      <c r="E9" s="22">
        <f>IF(D9="","",(C9-D9)/D9)</f>
        <v/>
      </c>
      <c r="F9" s="30">
        <f>CO2_OUT+1000000*0.047/A9</f>
        <v/>
      </c>
      <c r="G9" s="23">
        <f>IF(C9&lt;=CO2_SPEC,"PASS",IF(C9&gt;=2000,"ALARM","OVER SPEC"))</f>
        <v/>
      </c>
      <c r="H9" s="2" t="inlineStr"/>
    </row>
    <row r="10">
      <c r="A10" s="19" t="n">
        <v>24</v>
      </c>
      <c r="B10" s="26">
        <f>A10/N_OCC</f>
        <v/>
      </c>
      <c r="C10" s="30">
        <f>CO2_OUT+1000000*CO2_GEN/A10</f>
        <v/>
      </c>
      <c r="D10" s="31" t="n">
        <v>3420</v>
      </c>
      <c r="E10" s="22">
        <f>IF(D10="","",(C10-D10)/D10)</f>
        <v/>
      </c>
      <c r="F10" s="30">
        <f>CO2_OUT+1000000*0.047/A10</f>
        <v/>
      </c>
      <c r="G10" s="23">
        <f>IF(C10&lt;=CO2_SPEC,"PASS",IF(C10&gt;=2000,"ALARM","OVER SPEC"))</f>
        <v/>
      </c>
      <c r="H10" s="2" t="inlineStr"/>
    </row>
    <row r="11">
      <c r="A11" s="19" t="n">
        <v>12</v>
      </c>
      <c r="B11" s="26">
        <f>A11/N_OCC</f>
        <v/>
      </c>
      <c r="C11" s="30">
        <f>CO2_OUT+1000000*CO2_GEN/A11</f>
        <v/>
      </c>
      <c r="D11" s="31" t="n">
        <v>6420</v>
      </c>
      <c r="E11" s="22">
        <f>IF(D11="","",(C11-D11)/D11)</f>
        <v/>
      </c>
      <c r="F11" s="30">
        <f>CO2_OUT+1000000*0.047/A11</f>
        <v/>
      </c>
      <c r="G11" s="23">
        <f>IF(C11&lt;=CO2_SPEC,"PASS",IF(C11&gt;=2000,"ALARM","OVER SPEC"))</f>
        <v/>
      </c>
      <c r="H11" s="2" t="inlineStr">
        <is>
          <t>Per-person floor if the interlock were defeated</t>
        </is>
      </c>
    </row>
    <row r="12">
      <c r="A12" s="19" t="n">
        <v>6</v>
      </c>
      <c r="B12" s="26">
        <f>A12/N_OCC</f>
        <v/>
      </c>
      <c r="C12" s="30">
        <f>CO2_OUT+1000000*CO2_GEN/A12</f>
        <v/>
      </c>
      <c r="D12" s="31" t="inlineStr"/>
      <c r="E12" s="22">
        <f>IF(D12="","",(C12-D12)/D12)</f>
        <v/>
      </c>
      <c r="F12" s="30">
        <f>CO2_OUT+1000000*0.047/A12</f>
        <v/>
      </c>
      <c r="G12" s="23">
        <f>IF(C12&lt;=CO2_SPEC,"PASS",IF(C12&gt;=2000,"ALARM","OVER SPEC"))</f>
        <v/>
      </c>
      <c r="H12" s="2" t="inlineStr">
        <is>
          <t>Illustrative only — below any legal minimum</t>
        </is>
      </c>
    </row>
    <row r="13">
      <c r="A13" s="2" t="inlineStr">
        <is>
          <t>Sealed envelope (infiltration only) reads ~7,600 ppm; a closed room runs +2,000–2,900 ppm over the main space, which is why sensing is per-room and the interlock keys to the MAXIMUM reading, not an average.</t>
        </is>
      </c>
    </row>
    <row r="15" ht="16" customHeight="1">
      <c r="A15" s="7" t="inlineStr">
        <is>
          <t>LAYER 1 — ERV ECONOMICS (X7)</t>
        </is>
      </c>
      <c r="B15" s="5" t="n"/>
      <c r="C15" s="5" t="n"/>
      <c r="D15" s="5" t="n"/>
      <c r="E15" s="5" t="n"/>
      <c r="F15" s="5" t="n"/>
      <c r="G15" s="5" t="n"/>
      <c r="H15" s="6" t="n"/>
    </row>
    <row r="16">
      <c r="A16" s="3" t="inlineStr">
        <is>
          <t>ERV latent effectiveness ε</t>
        </is>
      </c>
      <c r="B16" s="20">
        <f>EPS_LAT</f>
        <v/>
      </c>
      <c r="C16" s="4" t="inlineStr">
        <is>
          <t>—</t>
        </is>
      </c>
      <c r="D16" s="2" t="inlineStr">
        <is>
          <t>PENDING test E; purchasable with membrane area</t>
        </is>
      </c>
    </row>
    <row r="17">
      <c r="A17" s="3" t="inlineStr">
        <is>
          <t>Moisture gradient ambient − cabin</t>
        </is>
      </c>
      <c r="B17" s="20">
        <f>W_AMB-W_CAB_L</f>
        <v/>
      </c>
      <c r="C17" s="4" t="inlineStr">
        <is>
          <t>g/kg</t>
        </is>
      </c>
      <c r="D17" s="2" t="inlineStr">
        <is>
          <t>Doc 00 quotes 10.4 g/kg</t>
        </is>
      </c>
    </row>
    <row r="18">
      <c r="A18" s="3" t="inlineStr">
        <is>
          <t>Unrecovered moisture per kg fresh</t>
        </is>
      </c>
      <c r="B18" s="20">
        <f>(1-B16)*B17</f>
        <v/>
      </c>
      <c r="C18" s="4" t="inlineStr">
        <is>
          <t>g/kg</t>
        </is>
      </c>
      <c r="D18" s="2" t="inlineStr">
        <is>
          <t>The (1−ε)×10.4 term</t>
        </is>
      </c>
    </row>
    <row r="19">
      <c r="A19" s="3" t="inlineStr">
        <is>
          <t>Marginal heat, ERV'd</t>
        </is>
      </c>
      <c r="B19" s="20">
        <f>B18/1000*H_FG_REGEN/3600*24/COP_REGEN*RHO_A</f>
        <v/>
      </c>
      <c r="C19" s="4" t="inlineStr">
        <is>
          <t>kWh/day per m³/h</t>
        </is>
      </c>
      <c r="D19" s="2" t="inlineStr">
        <is>
          <t>Doc 00 quotes 0.06 — this sheet reproduces the order</t>
        </is>
      </c>
    </row>
    <row r="20">
      <c r="A20" s="3" t="inlineStr">
        <is>
          <t>Marginal heat, bare fresh</t>
        </is>
      </c>
      <c r="B20" s="20">
        <f>B17/1000*H_FG_REGEN/3600*24/COP_REGEN*RHO_A</f>
        <v/>
      </c>
      <c r="C20" s="4" t="inlineStr">
        <is>
          <t>kWh/day per m³/h</t>
        </is>
      </c>
      <c r="D20" s="2" t="inlineStr">
        <is>
          <t>Doc 00's '3.8 kWh/day per 12 m³/h' is this bare figure — see CHK-003</t>
        </is>
      </c>
    </row>
    <row r="21">
      <c r="A21" s="3" t="inlineStr">
        <is>
          <t>Heat saved per 12 m³/h, bare basis</t>
        </is>
      </c>
      <c r="B21" s="20">
        <f>B20*12</f>
        <v/>
      </c>
      <c r="C21" s="4" t="inlineStr">
        <is>
          <t>kWh/day</t>
        </is>
      </c>
      <c r="D21" s="2" t="inlineStr">
        <is>
          <t>Doc 00 quotes ~3.8 kWh/day</t>
        </is>
      </c>
    </row>
    <row r="22">
      <c r="A22" s="3" t="inlineStr">
        <is>
          <t>ERV saving at the 48 m³/h floor</t>
        </is>
      </c>
      <c r="B22" s="20">
        <f>(B20-B19)*V_FRESH</f>
        <v/>
      </c>
      <c r="C22" s="4" t="inlineStr">
        <is>
          <t>kWh/day</t>
        </is>
      </c>
      <c r="D22" s="2" t="inlineStr">
        <is>
          <t>Doc 11 §5 / X7 quotes ~9–10 kWh/day. This sheet lands higher because it runs the full peak-duty gradient for 24 h; the published figure is duty-scheduled, like the daily budgets on the Liquid Sizing sheet. Either way it is the single largest lever on the heat budget</t>
        </is>
      </c>
    </row>
    <row r="23">
      <c r="A23" s="3" t="inlineStr">
        <is>
          <t>CO₂ crossover (EATR) limit</t>
        </is>
      </c>
      <c r="B23" s="27" t="n">
        <v>0.05</v>
      </c>
      <c r="C23" s="4" t="inlineStr">
        <is>
          <t>—</t>
        </is>
      </c>
      <c r="D23" s="2" t="inlineStr">
        <is>
          <t>Acceptance limit, test E — an ERV must not recycle CO₂</t>
        </is>
      </c>
    </row>
    <row r="25" ht="16" customHeight="1">
      <c r="A25" s="7" t="inlineStr">
        <is>
          <t>LAYER 2 — THE CO₂ BATTERY (X10 amine / X11 potash) — REQUIRED-PENDING tests J / J-K</t>
        </is>
      </c>
      <c r="B25" s="5" t="n"/>
      <c r="C25" s="5" t="n"/>
      <c r="D25" s="5" t="n"/>
      <c r="E25" s="5" t="n"/>
      <c r="F25" s="5" t="n"/>
      <c r="G25" s="5" t="n"/>
      <c r="H25" s="6" t="n"/>
    </row>
    <row r="26">
      <c r="A26" s="15" t="inlineStr">
        <is>
          <t>Quantity</t>
        </is>
      </c>
      <c r="B26" s="15" t="inlineStr">
        <is>
          <t>Amine (solar grade)</t>
        </is>
      </c>
      <c r="C26" s="15" t="inlineStr">
        <is>
          <t>Potash (waste-heat)</t>
        </is>
      </c>
      <c r="D26" s="15" t="inlineStr">
        <is>
          <t>Unit</t>
        </is>
      </c>
      <c r="E26" s="15" t="inlineStr">
        <is>
          <t>Published</t>
        </is>
      </c>
      <c r="F26" s="15" t="inlineStr">
        <is>
          <t>Check</t>
        </is>
      </c>
      <c r="G26" s="15" t="inlineStr"/>
      <c r="H26" s="15" t="inlineStr">
        <is>
          <t>Note</t>
        </is>
      </c>
    </row>
    <row r="27">
      <c r="A27" s="3" t="inlineStr">
        <is>
          <t>Regeneration temperature</t>
        </is>
      </c>
      <c r="B27" s="35" t="inlineStr">
        <is>
          <t>85–95</t>
        </is>
      </c>
      <c r="C27" s="35" t="inlineStr">
        <is>
          <t>130–150</t>
        </is>
      </c>
      <c r="D27" s="4" t="inlineStr">
        <is>
          <t>°C</t>
        </is>
      </c>
      <c r="E27" s="28" t="inlineStr"/>
      <c r="H27" s="2" t="inlineStr">
        <is>
          <t>Potash is equilibrium-dead below ~120 °C; the ETC's 93 °C ceiling cannot regenerate it</t>
        </is>
      </c>
    </row>
    <row r="28">
      <c r="A28" s="3" t="inlineStr">
        <is>
          <t>Scrubbing duty at the floor</t>
        </is>
      </c>
      <c r="B28" s="18">
        <f>1.6</f>
        <v/>
      </c>
      <c r="C28" s="18">
        <f>1.6</f>
        <v/>
      </c>
      <c r="D28" s="4" t="inlineStr">
        <is>
          <t>kg/day</t>
        </is>
      </c>
      <c r="E28" s="28" t="n">
        <v>1.6</v>
      </c>
      <c r="H28" s="2" t="inlineStr">
        <is>
          <t>Chemistry-agnostic: the duty is set by the crew and the ventilation rate</t>
        </is>
      </c>
    </row>
    <row r="29">
      <c r="A29" s="3" t="inlineStr">
        <is>
          <t>Bed mass, each of two</t>
        </is>
      </c>
      <c r="B29" s="18">
        <f>3</f>
        <v/>
      </c>
      <c r="C29" s="18">
        <f>4.5</f>
        <v/>
      </c>
      <c r="D29" s="4" t="inlineStr">
        <is>
          <t>kg</t>
        </is>
      </c>
      <c r="E29" s="28" t="inlineStr"/>
      <c r="H29" s="2" t="inlineStr">
        <is>
          <t>Amine ~3 kg; potash 4–5 kg at 0.5–0.65 mmol/g working</t>
        </is>
      </c>
    </row>
    <row r="30">
      <c r="A30" s="3" t="inlineStr">
        <is>
          <t>Half-cycle</t>
        </is>
      </c>
      <c r="B30" s="18">
        <f>90</f>
        <v/>
      </c>
      <c r="C30" s="18">
        <f>90</f>
        <v/>
      </c>
      <c r="D30" s="4" t="inlineStr">
        <is>
          <t>min</t>
        </is>
      </c>
      <c r="E30" s="28" t="n">
        <v>90</v>
      </c>
      <c r="H30" s="2" t="inlineStr"/>
    </row>
    <row r="31">
      <c r="A31" s="3" t="inlineStr">
        <is>
          <t>Recirculation through the bed</t>
        </is>
      </c>
      <c r="B31" s="18">
        <f>91</f>
        <v/>
      </c>
      <c r="C31" s="18">
        <f>91</f>
        <v/>
      </c>
      <c r="D31" s="4" t="inlineStr">
        <is>
          <t>m³/h</t>
        </is>
      </c>
      <c r="E31" s="28" t="n">
        <v>91</v>
      </c>
      <c r="H31" s="2" t="inlineStr">
        <is>
          <t>At 50% single-pass capture; +50–150 Pa</t>
        </is>
      </c>
    </row>
    <row r="32">
      <c r="A32" s="3" t="inlineStr">
        <is>
          <t>Specific regeneration energy</t>
        </is>
      </c>
      <c r="B32" s="18">
        <f>1.15</f>
        <v/>
      </c>
      <c r="C32" s="35" t="inlineStr"/>
      <c r="D32" s="4" t="inlineStr">
        <is>
          <t>kWh/kg</t>
        </is>
      </c>
      <c r="E32" s="28" t="inlineStr"/>
      <c r="H32" s="2" t="inlineStr">
        <is>
          <t>Amine 1.0–1.3 incl. water co-adsorption + sensible</t>
        </is>
      </c>
    </row>
    <row r="33">
      <c r="A33" s="3" t="inlineStr">
        <is>
          <t>Daily regeneration heat</t>
        </is>
      </c>
      <c r="B33" s="18">
        <f>B28*B32</f>
        <v/>
      </c>
      <c r="C33" s="35" t="inlineStr"/>
      <c r="D33" s="4" t="inlineStr">
        <is>
          <t>kWh/day</t>
        </is>
      </c>
      <c r="E33" s="28" t="n">
        <v>2.05</v>
      </c>
      <c r="H33" s="2" t="inlineStr">
        <is>
          <t>Published 1.6–2.5 kWh/day — schedulable into the solar window</t>
        </is>
      </c>
    </row>
    <row r="34">
      <c r="A34" s="3" t="inlineStr">
        <is>
          <t>Overnight stored obligation</t>
        </is>
      </c>
      <c r="B34" s="18">
        <f>0.3</f>
        <v/>
      </c>
      <c r="C34" s="18">
        <f>0.3</f>
        <v/>
      </c>
      <c r="D34" s="4" t="inlineStr">
        <is>
          <t>kg</t>
        </is>
      </c>
      <c r="E34" s="28" t="n">
        <v>0.3</v>
      </c>
      <c r="H34" s="2" t="inlineStr">
        <is>
          <t>Loaded beds carry the night</t>
        </is>
      </c>
    </row>
    <row r="35">
      <c r="A35" s="3" t="inlineStr">
        <is>
          <t>Bed placement humidity</t>
        </is>
      </c>
      <c r="B35" s="35" t="inlineStr">
        <is>
          <t>45–55</t>
        </is>
      </c>
      <c r="C35" s="35" t="inlineStr">
        <is>
          <t>45–55</t>
        </is>
      </c>
      <c r="D35" s="4" t="inlineStr">
        <is>
          <t>% RH</t>
        </is>
      </c>
      <c r="E35" s="28" t="inlineStr"/>
      <c r="H35" s="2" t="inlineStr">
        <is>
          <t>Post-dehumidification. Carbonation WANTS this band — water is a reagent</t>
        </is>
      </c>
    </row>
    <row r="36">
      <c r="A36" s="3" t="inlineStr">
        <is>
          <t>Breathing-air gate</t>
        </is>
      </c>
      <c r="B36" s="35" t="inlineStr">
        <is>
          <t>amine/ammonia slip (J)</t>
        </is>
      </c>
      <c r="C36" s="35" t="inlineStr">
        <is>
          <t>alkaline carryover (J-K)</t>
        </is>
      </c>
      <c r="D36" s="4" t="inlineStr">
        <is>
          <t>—</t>
        </is>
      </c>
      <c r="E36" s="28" t="inlineStr"/>
      <c r="H36" s="2" t="inlineStr">
        <is>
          <t>Safety register item 4 — gates any connection to breathing air</t>
        </is>
      </c>
    </row>
    <row r="37">
      <c r="A37" s="3" t="inlineStr">
        <is>
          <t>Support prohibition</t>
        </is>
      </c>
      <c r="B37" s="35" t="inlineStr">
        <is>
          <t>—</t>
        </is>
      </c>
      <c r="C37" s="35" t="inlineStr">
        <is>
          <t>alumina, MgO</t>
        </is>
      </c>
      <c r="D37" s="4" t="inlineStr">
        <is>
          <t>—</t>
        </is>
      </c>
      <c r="E37" s="28" t="inlineStr"/>
      <c r="H37" s="2" t="inlineStr">
        <is>
          <t>Irreversible double-salt deactivation</t>
        </is>
      </c>
    </row>
    <row r="39" ht="16" customHeight="1">
      <c r="A39" s="7" t="inlineStr">
        <is>
          <t>LAYER 0 — X9: WHY THERE IS NO GAS IN THE ENVELOPE</t>
        </is>
      </c>
      <c r="B39" s="5" t="n"/>
      <c r="C39" s="5" t="n"/>
      <c r="D39" s="5" t="n"/>
      <c r="E39" s="5" t="n"/>
      <c r="F39" s="5" t="n"/>
      <c r="G39" s="5" t="n"/>
      <c r="H39" s="6" t="n"/>
    </row>
    <row r="40">
      <c r="A40" s="3" t="inlineStr">
        <is>
          <t>Crew CO₂, 4 occupants awake</t>
        </is>
      </c>
      <c r="B40" s="18">
        <f>CO2_GEN</f>
        <v/>
      </c>
      <c r="C40" s="4" t="inlineStr">
        <is>
          <t>m³/h</t>
        </is>
      </c>
      <c r="D40" s="2" t="inlineStr">
        <is>
          <t>The whole design load</t>
        </is>
      </c>
    </row>
    <row r="41">
      <c r="A41" s="3" t="inlineStr">
        <is>
          <t>One 2 kW gas burner</t>
        </is>
      </c>
      <c r="B41" s="25" t="n">
        <v>0.26</v>
      </c>
      <c r="C41" s="4" t="inlineStr">
        <is>
          <t>m³/h</t>
        </is>
      </c>
      <c r="D41" s="2" t="inlineStr">
        <is>
          <t>3.6× the entire crew</t>
        </is>
      </c>
    </row>
    <row r="42">
      <c r="A42" s="3" t="inlineStr">
        <is>
          <t>Burner ratio to crew</t>
        </is>
      </c>
      <c r="B42" s="18">
        <f>B41/B40</f>
        <v/>
      </c>
      <c r="C42" s="4" t="inlineStr">
        <is>
          <t>×</t>
        </is>
      </c>
      <c r="D42" s="2" t="inlineStr">
        <is>
          <t>Doc 00 §5 quotes 3.6×</t>
        </is>
      </c>
    </row>
    <row r="43">
      <c r="A43" s="3" t="inlineStr">
        <is>
          <t>Burner combustion water</t>
        </is>
      </c>
      <c r="B43" s="25" t="n">
        <v>0.25</v>
      </c>
      <c r="C43" s="4" t="inlineStr">
        <is>
          <t>kg/h</t>
        </is>
      </c>
      <c r="D43" s="2" t="inlineStr">
        <is>
          <t>A latent load on top of the CO₂</t>
        </is>
      </c>
    </row>
    <row r="44">
      <c r="A44" s="3" t="inlineStr">
        <is>
          <t>Induction galley cost</t>
        </is>
      </c>
      <c r="B44" s="18">
        <f>2</f>
        <v/>
      </c>
      <c r="C44" s="4" t="inlineStr">
        <is>
          <t>kWh_e/day</t>
        </is>
      </c>
      <c r="D44" s="2" t="inlineStr">
        <is>
          <t>Deletes both terms — safety register item 2</t>
        </is>
      </c>
    </row>
    <row r="46">
      <c r="A46" s="4" t="inlineStr">
        <is>
          <t>LAYER 3 — INTERLOCK: CO₂-governed fresh damper with a MECHANICAL minimum stop, so no controller fault or economy setting can close ventilation below the floor. Recirculation-only operation is prohibited while occupied. Scrubbing never substitutes for the ventilation floor. Each 12 m³/h of fresh air cut saves ~3.8 kWh/day of heat — a standing economic temptation that the mechanical stop, not software, forecloses.</t>
        </is>
      </c>
      <c r="B46" s="8" t="n"/>
      <c r="C46" s="8" t="n"/>
      <c r="D46" s="8" t="n"/>
      <c r="E46" s="8" t="n"/>
      <c r="F46" s="8" t="n"/>
      <c r="G46" s="8" t="n"/>
      <c r="H46" s="9" t="n"/>
    </row>
    <row r="47">
      <c r="A47" s="10" t="n"/>
      <c r="H47" s="11" t="n"/>
    </row>
    <row r="48">
      <c r="A48" s="12" t="n"/>
      <c r="B48" s="13" t="n"/>
      <c r="C48" s="13" t="n"/>
      <c r="D48" s="13" t="n"/>
      <c r="E48" s="13" t="n"/>
      <c r="F48" s="13" t="n"/>
      <c r="G48" s="13" t="n"/>
      <c r="H48" s="14" t="n"/>
    </row>
  </sheetData>
  <mergeCells count="8">
    <mergeCell ref="A4:H4"/>
    <mergeCell ref="A39:H39"/>
    <mergeCell ref="A15:H15"/>
    <mergeCell ref="A25:H25"/>
    <mergeCell ref="A2:H2"/>
    <mergeCell ref="A46:H48"/>
    <mergeCell ref="A13:H13"/>
    <mergeCell ref="A1:H1"/>
  </mergeCells>
  <conditionalFormatting sqref="G6">
    <cfRule type="cellIs" priority="1" operator="equal" dxfId="2">
      <formula>"PASS"</formula>
    </cfRule>
    <cfRule type="cellIs" priority="2" operator="equal" dxfId="4">
      <formula>"OVER SPEC"</formula>
    </cfRule>
    <cfRule type="cellIs" priority="3" operator="equal" dxfId="3">
      <formula>"ALARM"</formula>
    </cfRule>
  </conditionalFormatting>
  <conditionalFormatting sqref="G7">
    <cfRule type="cellIs" priority="4" operator="equal" dxfId="2">
      <formula>"PASS"</formula>
    </cfRule>
    <cfRule type="cellIs" priority="5" operator="equal" dxfId="4">
      <formula>"OVER SPEC"</formula>
    </cfRule>
    <cfRule type="cellIs" priority="6" operator="equal" dxfId="3">
      <formula>"ALARM"</formula>
    </cfRule>
  </conditionalFormatting>
  <conditionalFormatting sqref="G8">
    <cfRule type="cellIs" priority="7" operator="equal" dxfId="2">
      <formula>"PASS"</formula>
    </cfRule>
    <cfRule type="cellIs" priority="8" operator="equal" dxfId="4">
      <formula>"OVER SPEC"</formula>
    </cfRule>
    <cfRule type="cellIs" priority="9" operator="equal" dxfId="3">
      <formula>"ALARM"</formula>
    </cfRule>
  </conditionalFormatting>
  <conditionalFormatting sqref="G9">
    <cfRule type="cellIs" priority="10" operator="equal" dxfId="2">
      <formula>"PASS"</formula>
    </cfRule>
    <cfRule type="cellIs" priority="11" operator="equal" dxfId="4">
      <formula>"OVER SPEC"</formula>
    </cfRule>
    <cfRule type="cellIs" priority="12" operator="equal" dxfId="3">
      <formula>"ALARM"</formula>
    </cfRule>
  </conditionalFormatting>
  <conditionalFormatting sqref="G10">
    <cfRule type="cellIs" priority="13" operator="equal" dxfId="2">
      <formula>"PASS"</formula>
    </cfRule>
    <cfRule type="cellIs" priority="14" operator="equal" dxfId="4">
      <formula>"OVER SPEC"</formula>
    </cfRule>
    <cfRule type="cellIs" priority="15" operator="equal" dxfId="3">
      <formula>"ALARM"</formula>
    </cfRule>
  </conditionalFormatting>
  <conditionalFormatting sqref="G11">
    <cfRule type="cellIs" priority="16" operator="equal" dxfId="2">
      <formula>"PASS"</formula>
    </cfRule>
    <cfRule type="cellIs" priority="17" operator="equal" dxfId="4">
      <formula>"OVER SPEC"</formula>
    </cfRule>
    <cfRule type="cellIs" priority="18" operator="equal" dxfId="3">
      <formula>"ALARM"</formula>
    </cfRule>
  </conditionalFormatting>
  <conditionalFormatting sqref="G12">
    <cfRule type="cellIs" priority="19" operator="equal" dxfId="2">
      <formula>"PASS"</formula>
    </cfRule>
    <cfRule type="cellIs" priority="20" operator="equal" dxfId="4">
      <formula>"OVER SPEC"</formula>
    </cfRule>
    <cfRule type="cellIs" priority="21" operator="equal" dxfId="3">
      <formula>"ALARM"</formula>
    </cfRule>
  </conditionalFormatting>
  <printOptions horizontalCentered="1"/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2" customWidth="1" min="5" max="5"/>
    <col width="16" customWidth="1" min="6" max="6"/>
    <col width="58" customWidth="1" min="7" max="7"/>
  </cols>
  <sheetData>
    <row r="1" ht="22" customHeight="1">
      <c r="A1" s="1" t="inlineStr">
        <is>
          <t>Platform heat cascade &amp; water ladder (doc 30)</t>
        </is>
      </c>
    </row>
    <row r="2">
      <c r="A2" s="2" t="inlineStr">
        <is>
          <t>Match each load to the grade of heat it needs; spend high grade only at the cascade bottom. Water comes from heat, air, or sky — not meaningfully from electricity.</t>
        </is>
      </c>
    </row>
    <row r="4" ht="16" customHeight="1">
      <c r="A4" s="7" t="inlineStr">
        <is>
          <t>HEAT-GRADE CASCADE</t>
        </is>
      </c>
      <c r="B4" s="5" t="n"/>
      <c r="C4" s="5" t="n"/>
      <c r="D4" s="5" t="n"/>
      <c r="E4" s="5" t="n"/>
      <c r="F4" s="5" t="n"/>
      <c r="G4" s="6" t="n"/>
    </row>
    <row r="5">
      <c r="A5" s="15" t="inlineStr">
        <is>
          <t>Rung</t>
        </is>
      </c>
      <c r="B5" s="15" t="inlineStr">
        <is>
          <t>Grade (°C)</t>
        </is>
      </c>
      <c r="C5" s="15" t="inlineStr">
        <is>
          <t>Load</t>
        </is>
      </c>
      <c r="D5" s="15" t="inlineStr">
        <is>
          <t>Served by</t>
        </is>
      </c>
      <c r="E5" s="15" t="inlineStr">
        <is>
          <t>Note</t>
        </is>
      </c>
      <c r="F5" s="15" t="inlineStr"/>
      <c r="G5" s="15" t="inlineStr"/>
    </row>
    <row r="6">
      <c r="A6" s="3" t="inlineStr">
        <is>
          <t>Source</t>
        </is>
      </c>
      <c r="B6" s="4" t="inlineStr">
        <is>
          <t>high (continuous)</t>
        </is>
      </c>
      <c r="C6" s="4" t="inlineStr">
        <is>
          <t>Electricity generation</t>
        </is>
      </c>
      <c r="D6" s="4" t="inlineStr">
        <is>
          <t>High-grade process heat</t>
        </is>
      </c>
      <c r="E6" s="2" t="inlineStr">
        <is>
          <t>Single point of failure for water AND power simultaneously</t>
        </is>
      </c>
    </row>
    <row r="7">
      <c r="A7" s="3" t="inlineStr">
        <is>
          <t>1</t>
        </is>
      </c>
      <c r="B7" s="4" t="inlineStr">
        <is>
          <t>130–150</t>
        </is>
      </c>
      <c r="C7" s="4" t="inlineStr">
        <is>
          <t>K₂CO₃ CO₂-bed regeneration (X11)</t>
        </is>
      </c>
      <c r="D7" s="4" t="inlineStr">
        <is>
          <t>Process tail</t>
        </is>
      </c>
      <c r="E7" s="2" t="inlineStr">
        <is>
          <t>Only on platforms with a ≥~130 °C tap</t>
        </is>
      </c>
    </row>
    <row r="8">
      <c r="A8" s="3" t="inlineStr">
        <is>
          <t>2</t>
        </is>
      </c>
      <c r="B8" s="4" t="inlineStr">
        <is>
          <t>75–85</t>
        </is>
      </c>
      <c r="C8" s="4" t="inlineStr">
        <is>
          <t>Two-stage HDH humidifier</t>
        </is>
      </c>
      <c r="D8" s="4" t="inlineStr">
        <is>
          <t>Process tail</t>
        </is>
      </c>
      <c r="E8" s="2" t="inlineStr">
        <is>
          <t>The water engine at saline-feed sites; never pointed at cabin air</t>
        </is>
      </c>
    </row>
    <row r="9">
      <c r="A9" s="3" t="inlineStr">
        <is>
          <t>3</t>
        </is>
      </c>
      <c r="B9" s="4" t="inlineStr">
        <is>
          <t>85–95</t>
        </is>
      </c>
      <c r="C9" s="4" t="inlineStr">
        <is>
          <t>Amine CO₂ bed + hot-regen still</t>
        </is>
      </c>
      <c r="D9" s="4" t="inlineStr">
        <is>
          <t>Process tail · ETC · X12 AHT</t>
        </is>
      </c>
      <c r="E9" s="2" t="inlineStr">
        <is>
          <t>The grade an AHT can synthesise from a 60–65 °C tail</t>
        </is>
      </c>
    </row>
    <row r="10">
      <c r="A10" s="3" t="inlineStr">
        <is>
          <t>4</t>
        </is>
      </c>
      <c r="B10" s="4" t="inlineStr">
        <is>
          <t>60–93</t>
        </is>
      </c>
      <c r="C10" s="4" t="inlineStr">
        <is>
          <t>Liquid-track regeneration</t>
        </is>
      </c>
      <c r="D10" s="4" t="inlineStr">
        <is>
          <t>ETC solar 2.5–4.5 m²</t>
        </is>
      </c>
      <c r="E10" s="2" t="inlineStr">
        <is>
          <t>The solar comfort island — X2 keeps driving force positive across the whole band</t>
        </is>
      </c>
    </row>
    <row r="11">
      <c r="A11" s="3" t="inlineStr">
        <is>
          <t>5</t>
        </is>
      </c>
      <c r="B11" s="4" t="inlineStr">
        <is>
          <t>60–65</t>
        </is>
      </c>
      <c r="C11" s="4" t="inlineStr">
        <is>
          <t>Solid-bed regeneration</t>
        </is>
      </c>
      <c r="D11" s="4" t="inlineStr">
        <is>
          <t>Waste-heat tail (primary)</t>
        </is>
      </c>
      <c r="E11" s="2" t="inlineStr">
        <is>
          <t>F2: solar-direct is equilibrium-dead here against a condensing purge</t>
        </is>
      </c>
    </row>
    <row r="12">
      <c r="A12" s="3" t="inlineStr">
        <is>
          <t>6</t>
        </is>
      </c>
      <c r="B12" s="4" t="inlineStr">
        <is>
          <t>45–50</t>
        </is>
      </c>
      <c r="C12" s="4" t="inlineStr">
        <is>
          <t>PVT thermal output</t>
        </is>
      </c>
      <c r="D12" s="4" t="inlineStr">
        <is>
          <t>PVT ×2</t>
        </is>
      </c>
      <c r="E12" s="2" t="inlineStr">
        <is>
          <t>Cannot reach HDH grade; F2-dead for direct solid-bed regeneration</t>
        </is>
      </c>
    </row>
    <row r="13">
      <c r="A13" s="3" t="inlineStr">
        <is>
          <t>Sink</t>
        </is>
      </c>
      <c r="B13" s="4" t="inlineStr">
        <is>
          <t>~29</t>
        </is>
      </c>
      <c r="C13" s="4" t="inlineStr">
        <is>
          <t>Rejection</t>
        </is>
      </c>
      <c r="D13" s="4" t="inlineStr">
        <is>
          <t>Raw water</t>
        </is>
      </c>
      <c r="E13" s="2" t="inlineStr">
        <is>
          <t>Adsorption heat releases only a few K above the sink — reject it, don't chase it</t>
        </is>
      </c>
    </row>
    <row r="15" ht="16" customHeight="1">
      <c r="A15" s="7" t="inlineStr">
        <is>
          <t>LIQUID-TRACK DAILY HEAT BUDGET &amp; SOURCE SIZING</t>
        </is>
      </c>
      <c r="B15" s="5" t="n"/>
      <c r="C15" s="5" t="n"/>
      <c r="D15" s="5" t="n"/>
      <c r="E15" s="5" t="n"/>
      <c r="F15" s="5" t="n"/>
      <c r="G15" s="6" t="n"/>
    </row>
    <row r="16">
      <c r="A16" s="3" t="inlineStr">
        <is>
          <t>Daily regeneration heat (ERV + DCV)</t>
        </is>
      </c>
      <c r="B16" s="25" t="n">
        <v>10</v>
      </c>
      <c r="C16" s="4" t="inlineStr">
        <is>
          <t>kWh/day</t>
        </is>
      </c>
      <c r="D16" s="2" t="inlineStr">
        <is>
          <t>Published band 9–11 kWh/day</t>
        </is>
      </c>
    </row>
    <row r="17">
      <c r="A17" s="3" t="inlineStr">
        <is>
          <t>CO₂-battery regeneration</t>
        </is>
      </c>
      <c r="B17" s="25" t="n">
        <v>2.05</v>
      </c>
      <c r="C17" s="4" t="inlineStr">
        <is>
          <t>kWh/day</t>
        </is>
      </c>
      <c r="D17" s="2" t="inlineStr">
        <is>
          <t>Published 1.6–2.5 kWh/day (test J)</t>
        </is>
      </c>
    </row>
    <row r="18">
      <c r="A18" s="3" t="inlineStr">
        <is>
          <t>Domestic hot water draw</t>
        </is>
      </c>
      <c r="B18" s="25" t="n">
        <v>2</v>
      </c>
      <c r="C18" s="4" t="inlineStr">
        <is>
          <t>kWh/day</t>
        </is>
      </c>
      <c r="D18" s="2" t="inlineStr">
        <is>
          <t>Demand-capped 1–3 kWh/day — first in the recapture order</t>
        </is>
      </c>
    </row>
    <row r="19">
      <c r="A19" s="3" t="inlineStr">
        <is>
          <t>Total thermal demand</t>
        </is>
      </c>
      <c r="B19" s="18">
        <f>SUM(B16:B18)</f>
        <v/>
      </c>
      <c r="C19" s="4" t="inlineStr">
        <is>
          <t>kWh/day</t>
        </is>
      </c>
      <c r="D19" s="2" t="inlineStr"/>
    </row>
    <row r="20">
      <c r="A20" s="3" t="inlineStr">
        <is>
          <t>Solar yield per m² per day</t>
        </is>
      </c>
      <c r="B20" s="25" t="n">
        <v>2.75</v>
      </c>
      <c r="C20" s="4" t="inlineStr">
        <is>
          <t>kWh/m²·day</t>
        </is>
      </c>
      <c r="D20" s="2" t="inlineStr">
        <is>
          <t>2.5–3 kWh/m²·day basis</t>
        </is>
      </c>
    </row>
    <row r="21">
      <c r="A21" s="3" t="inlineStr">
        <is>
          <t>Collector area required</t>
        </is>
      </c>
      <c r="B21" s="18">
        <f>B19/B20</f>
        <v/>
      </c>
      <c r="C21" s="4" t="inlineStr">
        <is>
          <t>m²</t>
        </is>
      </c>
      <c r="D21" s="2" t="inlineStr">
        <is>
          <t>Published 2.5–4.5 m² flat-plate class</t>
        </is>
      </c>
    </row>
    <row r="22">
      <c r="A22" s="3" t="inlineStr">
        <is>
          <t>Diesel heating value</t>
        </is>
      </c>
      <c r="B22" s="25" t="n">
        <v>8.5</v>
      </c>
      <c r="C22" s="4" t="inlineStr">
        <is>
          <t>kWh/L</t>
        </is>
      </c>
      <c r="D22" s="2" t="inlineStr">
        <is>
          <t>5 kW hydronic heater class</t>
        </is>
      </c>
    </row>
    <row r="23">
      <c r="A23" s="3" t="inlineStr">
        <is>
          <t>Diesel-only fuel burn</t>
        </is>
      </c>
      <c r="B23" s="18">
        <f>B19/B22</f>
        <v/>
      </c>
      <c r="C23" s="4" t="inlineStr">
        <is>
          <t>L/day</t>
        </is>
      </c>
      <c r="D23" s="2" t="inlineStr">
        <is>
          <t>Published 1.1–1.4 L/day at full DP-A duty</t>
        </is>
      </c>
    </row>
    <row r="24">
      <c r="A24" s="3" t="inlineStr">
        <is>
          <t>Induction galley electrical</t>
        </is>
      </c>
      <c r="B24" s="25" t="n">
        <v>2</v>
      </c>
      <c r="C24" s="4" t="inlineStr">
        <is>
          <t>kWh_e/day</t>
        </is>
      </c>
      <c r="D24" s="2" t="inlineStr">
        <is>
          <t>X9 — a battery/inverter sizing line on a solar-only island</t>
        </is>
      </c>
    </row>
    <row r="25">
      <c r="A25" s="3" t="inlineStr">
        <is>
          <t>System electrical, scaled</t>
        </is>
      </c>
      <c r="B25" s="25" t="n">
        <v>65</v>
      </c>
      <c r="C25" s="4" t="inlineStr">
        <is>
          <t>W</t>
        </is>
      </c>
      <c r="D25" s="2" t="inlineStr">
        <is>
          <t>Published 50–80 W band including ERV and exhaust fans</t>
        </is>
      </c>
    </row>
    <row r="26">
      <c r="A26" s="3" t="inlineStr">
        <is>
          <t>Daily electrical, comfort system</t>
        </is>
      </c>
      <c r="B26" s="18">
        <f>B25*24/1000</f>
        <v/>
      </c>
      <c r="C26" s="4" t="inlineStr">
        <is>
          <t>kWh_e/day</t>
        </is>
      </c>
      <c r="D26" s="2" t="inlineStr"/>
    </row>
    <row r="28" ht="16" customHeight="1">
      <c r="A28" s="7" t="inlineStr">
        <is>
          <t>WATER REDUNDANCY LADDER — independence is the property that matters</t>
        </is>
      </c>
      <c r="B28" s="5" t="n"/>
      <c r="C28" s="5" t="n"/>
      <c r="D28" s="5" t="n"/>
      <c r="E28" s="5" t="n"/>
      <c r="F28" s="5" t="n"/>
      <c r="G28" s="6" t="n"/>
    </row>
    <row r="29">
      <c r="A29" s="15" t="inlineStr">
        <is>
          <t>Path</t>
        </is>
      </c>
      <c r="B29" s="15" t="inlineStr">
        <is>
          <t>Source class</t>
        </is>
      </c>
      <c r="C29" s="15" t="inlineStr">
        <is>
          <t>Independent of HDH?</t>
        </is>
      </c>
      <c r="D29" s="15" t="inlineStr">
        <is>
          <t>Rate</t>
        </is>
      </c>
      <c r="E29" s="15" t="inlineStr">
        <is>
          <t>Unit</t>
        </is>
      </c>
      <c r="F29" s="15" t="inlineStr">
        <is>
          <t>Role</t>
        </is>
      </c>
      <c r="G29" s="15" t="inlineStr">
        <is>
          <t>Note</t>
        </is>
      </c>
    </row>
    <row r="30">
      <c r="A30" s="3" t="inlineStr">
        <is>
          <t>Process-heat HDH</t>
        </is>
      </c>
      <c r="B30" s="4" t="inlineStr">
        <is>
          <t>raw water + free heat</t>
        </is>
      </c>
      <c r="C30" s="4" t="inlineStr">
        <is>
          <t>— (is the HDH)</t>
        </is>
      </c>
      <c r="D30" s="4" t="inlineStr">
        <is>
          <t>high</t>
        </is>
      </c>
      <c r="E30" s="4" t="inlineStr">
        <is>
          <t>L/day</t>
        </is>
      </c>
      <c r="F30" s="4" t="inlineStr">
        <is>
          <t>primary</t>
        </is>
      </c>
      <c r="G30" s="2" t="inlineStr">
        <is>
          <t>GOR 2.2–2.8 at a 29 °C sink; ~90 L/day per kW of heat</t>
        </is>
      </c>
    </row>
    <row r="31">
      <c r="A31" s="3" t="inlineStr">
        <is>
          <t>Resistive-HDH</t>
        </is>
      </c>
      <c r="B31" s="4" t="inlineStr">
        <is>
          <t>raw water + battery electricity</t>
        </is>
      </c>
      <c r="C31" s="4" t="inlineStr">
        <is>
          <t>NO — common mode</t>
        </is>
      </c>
      <c r="D31" s="4" t="inlineStr">
        <is>
          <t>high</t>
        </is>
      </c>
      <c r="E31" s="4" t="inlineStr">
        <is>
          <t>L/day</t>
        </is>
      </c>
      <c r="F31" s="4" t="inlineStr">
        <is>
          <t>heat-source backup only</t>
        </is>
      </c>
      <c r="G31" s="2" t="inlineStr">
        <is>
          <t>Shares columns, raw-water loop, and air loop; ~27× RO's energy per litre</t>
        </is>
      </c>
    </row>
    <row r="32">
      <c r="A32" s="3" t="inlineStr">
        <is>
          <t>Solid-track condensate</t>
        </is>
      </c>
      <c r="B32" s="4" t="inlineStr">
        <is>
          <t>humid air + low-grade heat</t>
        </is>
      </c>
      <c r="C32" s="4" t="inlineStr">
        <is>
          <t>YES</t>
        </is>
      </c>
      <c r="D32" s="4" t="inlineStr">
        <is>
          <t>50–70</t>
        </is>
      </c>
      <c r="E32" s="4" t="inlineStr">
        <is>
          <t>L/day</t>
        </is>
      </c>
      <c r="F32" s="4" t="inlineStr">
        <is>
          <t>comfort byproduct</t>
        </is>
      </c>
      <c r="G32" s="2" t="inlineStr">
        <is>
          <t>X8 custody; water-neutral M-cycle in every ambient</t>
        </is>
      </c>
    </row>
    <row r="33">
      <c r="A33" s="3" t="inlineStr">
        <is>
          <t>Liquid-track distillate</t>
        </is>
      </c>
      <c r="B33" s="4" t="inlineStr">
        <is>
          <t>humid air + solar-grade heat</t>
        </is>
      </c>
      <c r="C33" s="4" t="inlineStr">
        <is>
          <t>YES</t>
        </is>
      </c>
      <c r="D33" s="4" t="inlineStr">
        <is>
          <t>8–18</t>
        </is>
      </c>
      <c r="E33" s="4" t="inlineStr">
        <is>
          <t>L/day</t>
        </is>
      </c>
      <c r="F33" s="4" t="inlineStr">
        <is>
          <t>solar-independent path</t>
        </is>
      </c>
      <c r="G33" s="2" t="inlineStr">
        <is>
          <t>Also the M-cycle feed — the loop closes</t>
        </is>
      </c>
    </row>
    <row r="34">
      <c r="A34" s="3" t="inlineStr">
        <is>
          <t>Rain catchment</t>
        </is>
      </c>
      <c r="B34" s="4" t="inlineStr">
        <is>
          <t>sky</t>
        </is>
      </c>
      <c r="C34" s="4" t="inlineStr">
        <is>
          <t>YES</t>
        </is>
      </c>
      <c r="D34" s="4" t="inlineStr">
        <is>
          <t>generous, intermittent</t>
        </is>
      </c>
      <c r="E34" s="4" t="inlineStr">
        <is>
          <t>—</t>
        </is>
      </c>
      <c r="F34" s="4" t="inlineStr">
        <is>
          <t>passive</t>
        </is>
      </c>
      <c r="G34" s="2" t="inlineStr">
        <is>
          <t>Over-invest here: it is the cheapest independent path</t>
        </is>
      </c>
    </row>
    <row r="35">
      <c r="A35" s="3" t="inlineStr">
        <is>
          <t>Emergency RO (pickled)</t>
        </is>
      </c>
      <c r="B35" s="4" t="inlineStr">
        <is>
          <t>raw water + small power</t>
        </is>
      </c>
      <c r="C35" s="4" t="inlineStr">
        <is>
          <t>YES</t>
        </is>
      </c>
      <c r="D35" s="4" t="inlineStr">
        <is>
          <t>drinking + essentials</t>
        </is>
      </c>
      <c r="E35" s="4" t="inlineStr">
        <is>
          <t>—</t>
        </is>
      </c>
      <c r="F35" s="4" t="inlineStr">
        <is>
          <t>dormant</t>
        </is>
      </c>
      <c r="G35" s="2" t="inlineStr">
        <is>
          <t>The only path robust OUTSIDE the humid tropics; few cycles → minimal fouling</t>
        </is>
      </c>
    </row>
    <row r="36">
      <c r="A36" s="3" t="inlineStr">
        <is>
          <t>Fresh-water tanks</t>
        </is>
      </c>
      <c r="B36" s="4" t="inlineStr">
        <is>
          <t>—</t>
        </is>
      </c>
      <c r="C36" s="4" t="inlineStr">
        <is>
          <t>YES</t>
        </is>
      </c>
      <c r="D36" s="4" t="inlineStr">
        <is>
          <t>buffer</t>
        </is>
      </c>
      <c r="E36" s="4" t="inlineStr">
        <is>
          <t>—</t>
        </is>
      </c>
      <c r="F36" s="4" t="inlineStr">
        <is>
          <t>autonomy</t>
        </is>
      </c>
      <c r="G36" s="2" t="inlineStr">
        <is>
          <t>Bridges any outage; the other cheap independent path</t>
        </is>
      </c>
    </row>
    <row r="37">
      <c r="A37" s="2" t="inlineStr">
        <is>
          <t>Common-mode warning: process-heat HDH and resistive-HDH share columns, the raw-water loop, and the air loop — resistive backs up heat-source loss only. Real security lives in the mechanically independent paths, and the cheapest of those (tankage and rain) is where to over-invest. Redundancy outranks efficiency in the field.</t>
        </is>
      </c>
    </row>
    <row r="38"/>
  </sheetData>
  <mergeCells count="14">
    <mergeCell ref="E10:G10"/>
    <mergeCell ref="A1:G1"/>
    <mergeCell ref="E13:G13"/>
    <mergeCell ref="E11:G11"/>
    <mergeCell ref="E8:G8"/>
    <mergeCell ref="A4:G4"/>
    <mergeCell ref="A2:G2"/>
    <mergeCell ref="E9:G9"/>
    <mergeCell ref="E12:G12"/>
    <mergeCell ref="A15:G15"/>
    <mergeCell ref="A37:G38"/>
    <mergeCell ref="E7:G7"/>
    <mergeCell ref="E6:G6"/>
    <mergeCell ref="A28:G28"/>
  </mergeCells>
  <conditionalFormatting sqref="C30">
    <cfRule type="cellIs" priority="1" operator="containsText" dxfId="3">
      <formula>NOT(ISERROR(SEARCH("NO",C30)))</formula>
    </cfRule>
  </conditionalFormatting>
  <conditionalFormatting sqref="C31">
    <cfRule type="cellIs" priority="2" operator="containsText" dxfId="3">
      <formula>NOT(ISERROR(SEARCH("NO",C31)))</formula>
    </cfRule>
  </conditionalFormatting>
  <conditionalFormatting sqref="C32">
    <cfRule type="cellIs" priority="3" operator="containsText" dxfId="3">
      <formula>NOT(ISERROR(SEARCH("NO",C32)))</formula>
    </cfRule>
  </conditionalFormatting>
  <conditionalFormatting sqref="C33">
    <cfRule type="cellIs" priority="4" operator="containsText" dxfId="3">
      <formula>NOT(ISERROR(SEARCH("NO",C33)))</formula>
    </cfRule>
  </conditionalFormatting>
  <conditionalFormatting sqref="C34">
    <cfRule type="cellIs" priority="5" operator="containsText" dxfId="3">
      <formula>NOT(ISERROR(SEARCH("NO",C34)))</formula>
    </cfRule>
  </conditionalFormatting>
  <conditionalFormatting sqref="C35">
    <cfRule type="cellIs" priority="6" operator="containsText" dxfId="3">
      <formula>NOT(ISERROR(SEARCH("NO",C35)))</formula>
    </cfRule>
  </conditionalFormatting>
  <conditionalFormatting sqref="C36">
    <cfRule type="cellIs" priority="7" operator="containsText" dxfId="3">
      <formula>NOT(ISERROR(SEARCH("NO",C36)))</formula>
    </cfRule>
  </conditionalFormatting>
  <printOptions horizontalCentered="1"/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H4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2" customWidth="1" min="5" max="5"/>
    <col width="13" customWidth="1" min="6" max="6"/>
    <col width="13" customWidth="1" min="7" max="7"/>
    <col width="56" customWidth="1" min="8" max="8"/>
  </cols>
  <sheetData>
    <row r="1" ht="22" customHeight="1">
      <c r="A1" s="1" t="inlineStr">
        <is>
          <t>Upgrade paths — boost modes only (doc 31)</t>
        </is>
      </c>
    </row>
    <row r="2">
      <c r="A2" s="2" t="inlineStr">
        <is>
          <t>BINDING RULE: every path here is an addition, never core. No DP-A comfort, air-quality, or water claim may depend on any of them; the baseline must remain fully operable with every one removed. All figures estimate-grade — nothing here has been bench-tested.</t>
        </is>
      </c>
    </row>
    <row r="4" ht="16" customHeight="1">
      <c r="A4" s="7" t="inlineStr">
        <is>
          <t>X12 — CaCl₂ ABSORPTION HEAT TRANSFORMER · the lift-ceiling inequality, solved live</t>
        </is>
      </c>
      <c r="B4" s="5" t="n"/>
      <c r="C4" s="5" t="n"/>
      <c r="D4" s="5" t="n"/>
      <c r="E4" s="5" t="n"/>
      <c r="F4" s="5" t="n"/>
      <c r="G4" s="5" t="n"/>
      <c r="H4" s="6" t="n"/>
    </row>
    <row r="5">
      <c r="A5" s="4" t="inlineStr">
        <is>
          <t>Governing inequality:  aw(x) · P_sat(T_abs) &lt; P_sat(T_evap)   — absorption stays downhill only while the brine's depressed vapour pressure sits below the evaporator's.</t>
        </is>
      </c>
      <c r="B5" s="5" t="n"/>
      <c r="C5" s="5" t="n"/>
      <c r="D5" s="5" t="n"/>
      <c r="E5" s="5" t="n"/>
      <c r="F5" s="5" t="n"/>
      <c r="G5" s="5" t="n"/>
      <c r="H5" s="6" t="n"/>
    </row>
    <row r="7">
      <c r="A7" s="15" t="inlineStr">
        <is>
          <t>Strong brine</t>
        </is>
      </c>
      <c r="B7" s="15" t="inlineStr">
        <is>
          <t>aw</t>
        </is>
      </c>
      <c r="C7" s="15" t="inlineStr">
        <is>
          <t>T_evap 60 °C → T_abs max</t>
        </is>
      </c>
      <c r="D7" s="15" t="inlineStr">
        <is>
          <t>Doc 31 §2.3</t>
        </is>
      </c>
      <c r="E7" s="15" t="inlineStr">
        <is>
          <t>T_evap 65 °C → T_abs max</t>
        </is>
      </c>
      <c r="F7" s="15" t="inlineStr">
        <is>
          <t>Doc 31 §2.3</t>
        </is>
      </c>
      <c r="G7" s="15" t="inlineStr">
        <is>
          <t>Check (65 °C)</t>
        </is>
      </c>
      <c r="H7" s="15" t="inlineStr">
        <is>
          <t>Note</t>
        </is>
      </c>
    </row>
    <row r="8">
      <c r="A8" s="3" t="inlineStr">
        <is>
          <t>44 wt%</t>
        </is>
      </c>
      <c r="B8" s="25" t="n">
        <v>0.34</v>
      </c>
      <c r="C8" s="26">
        <f>(MAG_C*LN((MAG_A*EXP(MAG_B*60/(60+MAG_C)))/B8/MAG_A)/(MAG_B-LN((MAG_A*EXP(MAG_B*60/(60+MAG_C)))/B8/MAG_A)))</f>
        <v/>
      </c>
      <c r="D8" s="21" t="n">
        <v>85.5</v>
      </c>
      <c r="E8" s="26">
        <f>(MAG_C*LN((MAG_A*EXP(MAG_B*65/(65+MAG_C)))/B8/MAG_A)/(MAG_B-LN((MAG_A*EXP(MAG_B*65/(65+MAG_C)))/B8/MAG_A)))</f>
        <v/>
      </c>
      <c r="F8" s="21" t="n">
        <v>91</v>
      </c>
      <c r="G8" s="23">
        <f>IF(ABS((E8-F8)/F8)&lt;=0.03,"OK","REVIEW")</f>
        <v/>
      </c>
      <c r="H8" s="2" t="inlineStr">
        <is>
          <t>The deliverable: a ~20–25 K gross lift into the 85–90 °C band</t>
        </is>
      </c>
    </row>
    <row r="9">
      <c r="A9" s="3" t="inlineStr">
        <is>
          <t>43 wt%</t>
        </is>
      </c>
      <c r="B9" s="25" t="n">
        <v>0.37</v>
      </c>
      <c r="C9" s="26">
        <f>(MAG_C*LN((MAG_A*EXP(MAG_B*60/(60+MAG_C)))/B9/MAG_A)/(MAG_B-LN((MAG_A*EXP(MAG_B*60/(60+MAG_C)))/B9/MAG_A)))</f>
        <v/>
      </c>
      <c r="D9" s="21" t="n">
        <v>83</v>
      </c>
      <c r="E9" s="26">
        <f>(MAG_C*LN((MAG_A*EXP(MAG_B*65/(65+MAG_C)))/B9/MAG_A)/(MAG_B-LN((MAG_A*EXP(MAG_B*65/(65+MAG_C)))/B9/MAG_A)))</f>
        <v/>
      </c>
      <c r="F9" s="21" t="n">
        <v>88.5</v>
      </c>
      <c r="G9" s="23">
        <f>IF(ABS((E9-F9)/F9)&lt;=0.03,"OK","REVIEW")</f>
        <v/>
      </c>
      <c r="H9" s="2" t="inlineStr"/>
    </row>
    <row r="10">
      <c r="A10" s="3" t="inlineStr">
        <is>
          <t>42 wt%</t>
        </is>
      </c>
      <c r="B10" s="25" t="n">
        <v>0.4</v>
      </c>
      <c r="C10" s="26">
        <f>(MAG_C*LN((MAG_A*EXP(MAG_B*60/(60+MAG_C)))/B10/MAG_A)/(MAG_B-LN((MAG_A*EXP(MAG_B*60/(60+MAG_C)))/B10/MAG_A)))</f>
        <v/>
      </c>
      <c r="D10" s="21" t="n">
        <v>81</v>
      </c>
      <c r="E10" s="26">
        <f>(MAG_C*LN((MAG_A*EXP(MAG_B*65/(65+MAG_C)))/B10/MAG_A)/(MAG_B-LN((MAG_A*EXP(MAG_B*65/(65+MAG_C)))/B10/MAG_A)))</f>
        <v/>
      </c>
      <c r="F10" s="21" t="n">
        <v>86.5</v>
      </c>
      <c r="G10" s="23">
        <f>IF(ABS((E10-F10)/F10)&lt;=0.03,"OK","REVIEW")</f>
        <v/>
      </c>
      <c r="H10" s="2" t="inlineStr">
        <is>
          <t>Below hot-regen still grade — concentration is the lever</t>
        </is>
      </c>
    </row>
    <row r="11">
      <c r="A11" s="3" t="inlineStr">
        <is>
          <t>40 wt%</t>
        </is>
      </c>
      <c r="B11" s="25" t="n">
        <v>0.45</v>
      </c>
      <c r="C11" s="26">
        <f>(MAG_C*LN((MAG_A*EXP(MAG_B*60/(60+MAG_C)))/B11/MAG_A)/(MAG_B-LN((MAG_A*EXP(MAG_B*60/(60+MAG_C)))/B11/MAG_A)))</f>
        <v/>
      </c>
      <c r="D11" s="21" t="n">
        <v>77</v>
      </c>
      <c r="E11" s="26">
        <f>(MAG_C*LN((MAG_A*EXP(MAG_B*65/(65+MAG_C)))/B11/MAG_A)/(MAG_B-LN((MAG_A*EXP(MAG_B*65/(65+MAG_C)))/B11/MAG_A)))</f>
        <v/>
      </c>
      <c r="F11" s="21" t="n">
        <v>83</v>
      </c>
      <c r="G11" s="23">
        <f>IF(ABS((E11-F11)/F11)&lt;=0.03,"OK","REVIEW")</f>
        <v/>
      </c>
      <c r="H11" s="2" t="inlineStr">
        <is>
          <t>Base brine cannot reach amine-bed grade</t>
        </is>
      </c>
    </row>
    <row r="12">
      <c r="A12" s="2" t="inlineStr">
        <is>
          <t>The ceiling is real and single-stage: the X11 potash rung (130–150 °C) is beyond reach. Test A's measured aw table feeds this inequality directly — the ±0.05 aw uncertainty on the brine side propagates straight into the lift ceiling.</t>
        </is>
      </c>
    </row>
    <row r="14" ht="16" customHeight="1">
      <c r="A14" s="7" t="inlineStr">
        <is>
          <t>X12 — ENERGY BALANCE</t>
        </is>
      </c>
      <c r="B14" s="5" t="n"/>
      <c r="C14" s="5" t="n"/>
      <c r="D14" s="5" t="n"/>
      <c r="E14" s="5" t="n"/>
      <c r="F14" s="5" t="n"/>
      <c r="G14" s="5" t="n"/>
      <c r="H14" s="6" t="n"/>
    </row>
    <row r="15">
      <c r="A15" s="3" t="inlineStr">
        <is>
          <t>AHT thermal COP</t>
        </is>
      </c>
      <c r="B15" s="25" t="n">
        <v>0.465</v>
      </c>
      <c r="C15" s="4" t="inlineStr">
        <is>
          <t>—</t>
        </is>
      </c>
      <c r="D15" s="2" t="inlineStr">
        <is>
          <t>0.45–0.48 before losses: upgraded heat ÷ driving heat</t>
        </is>
      </c>
    </row>
    <row r="16">
      <c r="A16" s="3" t="inlineStr">
        <is>
          <t>Upgraded heat required (amine bed)</t>
        </is>
      </c>
      <c r="B16" s="25" t="n">
        <v>2.25</v>
      </c>
      <c r="C16" s="4" t="inlineStr">
        <is>
          <t>kWh/day</t>
        </is>
      </c>
      <c r="D16" s="2" t="inlineStr">
        <is>
          <t>The CO₂ battery's 1.6–2.5 kWh/day at 85–95 °C</t>
        </is>
      </c>
    </row>
    <row r="17">
      <c r="A17" s="3" t="inlineStr">
        <is>
          <t>Driving tail heat drawn</t>
        </is>
      </c>
      <c r="B17" s="18">
        <f>B16/B15</f>
        <v/>
      </c>
      <c r="C17" s="4" t="inlineStr">
        <is>
          <t>kWh/day</t>
        </is>
      </c>
      <c r="D17" s="2" t="inlineStr">
        <is>
          <t>Doc 31 quotes ~5 kWh/day</t>
        </is>
      </c>
    </row>
    <row r="18">
      <c r="A18" s="3" t="inlineStr">
        <is>
          <t>Heat rejected via the still condenser</t>
        </is>
      </c>
      <c r="B18" s="18">
        <f>B17-B16</f>
        <v/>
      </c>
      <c r="C18" s="4" t="inlineStr">
        <is>
          <t>kWh/day</t>
        </is>
      </c>
      <c r="D18" s="2" t="inlineStr">
        <is>
          <t>Through hardware already running</t>
        </is>
      </c>
    </row>
    <row r="19">
      <c r="A19" s="3" t="inlineStr">
        <is>
          <t>Continuous form</t>
        </is>
      </c>
      <c r="B19" s="18">
        <f>1/B15</f>
        <v/>
      </c>
      <c r="C19" s="4" t="inlineStr">
        <is>
          <t>kW tail per kW upgraded</t>
        </is>
      </c>
      <c r="D19" s="2" t="inlineStr">
        <is>
          <t>Doc 31 quotes ~2.2</t>
        </is>
      </c>
    </row>
    <row r="20">
      <c r="A20" s="3" t="inlineStr">
        <is>
          <t>Distillate lift pump head</t>
        </is>
      </c>
      <c r="B20" s="25" t="n">
        <v>16</v>
      </c>
      <c r="C20" s="4" t="inlineStr">
        <is>
          <t>kPa</t>
        </is>
      </c>
      <c r="D20" s="2" t="inlineStr">
        <is>
          <t>Watt-scale peristaltic — unlike LiBr's solution pump</t>
        </is>
      </c>
    </row>
    <row r="21">
      <c r="A21" s="3" t="inlineStr">
        <is>
          <t>Absorption latent release</t>
        </is>
      </c>
      <c r="B21" s="25" t="n">
        <v>2.6</v>
      </c>
      <c r="C21" s="4" t="inlineStr">
        <is>
          <t>MJ/kg</t>
        </is>
      </c>
      <c r="D21" s="2" t="inlineStr">
        <is>
          <t>Released AT the brine's temperature — the X12 finding</t>
        </is>
      </c>
    </row>
    <row r="23" ht="16" customHeight="1">
      <c r="A23" s="7" t="inlineStr">
        <is>
          <t>STILL MVR — the pressure ratio decomposition (doc 31 §4)</t>
        </is>
      </c>
      <c r="B23" s="5" t="n"/>
      <c r="C23" s="5" t="n"/>
      <c r="D23" s="5" t="n"/>
      <c r="E23" s="5" t="n"/>
      <c r="F23" s="5" t="n"/>
      <c r="G23" s="5" t="n"/>
      <c r="H23" s="6" t="n"/>
    </row>
    <row r="24">
      <c r="A24" s="3" t="inlineStr">
        <is>
          <t>Pool temperature</t>
        </is>
      </c>
      <c r="B24" s="25" t="n">
        <v>70</v>
      </c>
      <c r="C24" s="4" t="inlineStr">
        <is>
          <t>°C</t>
        </is>
      </c>
      <c r="D24" s="2" t="inlineStr"/>
    </row>
    <row r="25">
      <c r="A25" s="3" t="inlineStr">
        <is>
          <t>Brine concentration</t>
        </is>
      </c>
      <c r="B25" s="25" t="n">
        <v>42</v>
      </c>
      <c r="C25" s="4" t="inlineStr">
        <is>
          <t>wt%</t>
        </is>
      </c>
      <c r="D25" s="2" t="inlineStr">
        <is>
          <t>aw ≈ 0.40 at this concentration</t>
        </is>
      </c>
    </row>
    <row r="26">
      <c r="A26" s="3" t="inlineStr">
        <is>
          <t>Water activity at that concentration</t>
        </is>
      </c>
      <c r="B26" s="25" t="n">
        <v>0.4</v>
      </c>
      <c r="C26" s="4" t="inlineStr">
        <is>
          <t>—</t>
        </is>
      </c>
      <c r="D26" s="2" t="inlineStr">
        <is>
          <t>PENDING test A</t>
        </is>
      </c>
    </row>
    <row r="27">
      <c r="A27" s="3" t="inlineStr">
        <is>
          <t>Pure-water saturation at pool T</t>
        </is>
      </c>
      <c r="B27" s="18">
        <f>(MAG_A*EXP(MAG_B*B24/(B24+MAG_C)))</f>
        <v/>
      </c>
      <c r="C27" s="4" t="inlineStr">
        <is>
          <t>kPa</t>
        </is>
      </c>
      <c r="D27" s="2" t="inlineStr">
        <is>
          <t>What the headspace would be over pure water</t>
        </is>
      </c>
    </row>
    <row r="28">
      <c r="A28" s="3" t="inlineStr">
        <is>
          <t>Actual headspace pressure</t>
        </is>
      </c>
      <c r="B28" s="18">
        <f>B27*B26</f>
        <v/>
      </c>
      <c r="C28" s="4" t="inlineStr">
        <is>
          <t>kPa</t>
        </is>
      </c>
      <c r="D28" s="2" t="inlineStr">
        <is>
          <t>Doc 31 quotes ~12.5 kPa</t>
        </is>
      </c>
    </row>
    <row r="29">
      <c r="A29" s="3" t="inlineStr">
        <is>
          <t>Required in-pool condensing pressure</t>
        </is>
      </c>
      <c r="B29" s="25" t="n">
        <v>40</v>
      </c>
      <c r="C29" s="4" t="inlineStr">
        <is>
          <t>kPa</t>
        </is>
      </c>
      <c r="D29" s="2" t="inlineStr">
        <is>
          <t>Sat. 76–78 °C for a useful 6–8 K ΔT</t>
        </is>
      </c>
    </row>
    <row r="30">
      <c r="A30" s="3" t="inlineStr">
        <is>
          <t>Pressure ratio</t>
        </is>
      </c>
      <c r="B30" s="18">
        <f>B29/B28</f>
        <v/>
      </c>
      <c r="C30" s="4" t="inlineStr">
        <is>
          <t>—</t>
        </is>
      </c>
      <c r="D30" s="2" t="inlineStr">
        <is>
          <t>Doc 31 quotes ~3</t>
        </is>
      </c>
    </row>
    <row r="31">
      <c r="A31" s="3" t="inlineStr">
        <is>
          <t>Ratio attributable to activity depression</t>
        </is>
      </c>
      <c r="B31" s="18">
        <f>B27/B28</f>
        <v/>
      </c>
      <c r="C31" s="4" t="inlineStr">
        <is>
          <t>—</t>
        </is>
      </c>
      <c r="D31" s="2" t="inlineStr">
        <is>
          <t>The machine pays for the desiccant's aw as pressure ratio — the compression-side mirror of X12</t>
        </is>
      </c>
    </row>
    <row r="32">
      <c r="A32" s="3" t="inlineStr">
        <is>
          <t>Specific compression work</t>
        </is>
      </c>
      <c r="B32" s="25" t="n">
        <v>140</v>
      </c>
      <c r="C32" s="4" t="inlineStr">
        <is>
          <t>Wh/kg</t>
        </is>
      </c>
      <c r="D32" s="2" t="inlineStr">
        <is>
          <t>vs ~1,800 Wh/kg thermal</t>
        </is>
      </c>
    </row>
    <row r="33">
      <c r="A33" s="3" t="inlineStr">
        <is>
          <t>Electrical at 0.88 kg/h peak duty</t>
        </is>
      </c>
      <c r="B33" s="18">
        <f>B32*0.88</f>
        <v/>
      </c>
      <c r="C33" s="4" t="inlineStr">
        <is>
          <t>W</t>
        </is>
      </c>
      <c r="D33" s="2" t="inlineStr">
        <is>
          <t>Doc 31 quotes 110–140 W — PV-scale</t>
        </is>
      </c>
    </row>
    <row r="35" ht="16" customHeight="1">
      <c r="A35" s="7" t="inlineStr">
        <is>
          <t>THE FAMILY AT A GLANCE — and the recorded rejection</t>
        </is>
      </c>
      <c r="B35" s="5" t="n"/>
      <c r="C35" s="5" t="n"/>
      <c r="D35" s="5" t="n"/>
      <c r="E35" s="5" t="n"/>
      <c r="F35" s="5" t="n"/>
      <c r="G35" s="5" t="n"/>
      <c r="H35" s="6" t="n"/>
    </row>
    <row r="36">
      <c r="A36" s="15" t="inlineStr">
        <is>
          <t>Path</t>
        </is>
      </c>
      <c r="B36" s="15" t="inlineStr">
        <is>
          <t>Character</t>
        </is>
      </c>
      <c r="C36" s="15" t="inlineStr">
        <is>
          <t>Converts</t>
        </is>
      </c>
      <c r="D36" s="15" t="inlineStr">
        <is>
          <t>Into</t>
        </is>
      </c>
      <c r="E36" s="15" t="inlineStr">
        <is>
          <t>Cost</t>
        </is>
      </c>
      <c r="F36" s="15" t="inlineStr">
        <is>
          <t>First gate</t>
        </is>
      </c>
      <c r="G36" s="15" t="inlineStr">
        <is>
          <t>Platform trigger</t>
        </is>
      </c>
      <c r="H36" s="15" t="inlineStr">
        <is>
          <t>Note</t>
        </is>
      </c>
    </row>
    <row r="37">
      <c r="A37" s="3" t="inlineStr">
        <is>
          <t>X12 AHT (§2)</t>
        </is>
      </c>
      <c r="B37" s="4" t="inlineStr">
        <is>
          <t>heat-only, no new chemistry</t>
        </is>
      </c>
      <c r="C37" s="4" t="inlineStr">
        <is>
          <t>60–65 °C waste tail</t>
        </is>
      </c>
      <c r="D37" s="4" t="inlineStr">
        <is>
          <t>85–90 °C process heat</t>
        </is>
      </c>
      <c r="E37" s="4" t="inlineStr">
        <is>
          <t>COP 0.45–0.48</t>
        </is>
      </c>
      <c r="F37" s="4" t="inlineStr">
        <is>
          <t>test L</t>
        </is>
      </c>
      <c r="G37" s="4" t="inlineStr">
        <is>
          <t>waste-heat tail ≤65 °C</t>
        </is>
      </c>
      <c r="H37" s="2" t="inlineStr">
        <is>
          <t>PRIMARY upgrade — the still is half the machine</t>
        </is>
      </c>
    </row>
    <row r="38">
      <c r="A38" s="3" t="inlineStr">
        <is>
          <t>Coupled VC heat pump (§3)</t>
        </is>
      </c>
      <c r="B38" s="4" t="inlineStr">
        <is>
          <t>electron-rich boost</t>
        </is>
      </c>
      <c r="C38" s="4" t="inlineStr">
        <is>
          <t>~350–500 W electric</t>
        </is>
      </c>
      <c r="D38" s="4" t="inlineStr">
        <is>
          <t>brine floor depth + regen heat</t>
        </is>
      </c>
      <c r="E38" s="4" t="inlineStr">
        <is>
          <t>+3.5–4.5 g/kg</t>
        </is>
      </c>
      <c r="F38" s="4" t="inlineStr">
        <is>
          <t>procurement + test I</t>
        </is>
      </c>
      <c r="G38" s="4" t="inlineStr">
        <is>
          <t>electron-rich, heat-poor</t>
        </is>
      </c>
      <c r="H38" s="2" t="inlineStr">
        <is>
          <t>Most of the LiCl benefit for ~400 W and no new chemistry</t>
        </is>
      </c>
    </row>
    <row r="39">
      <c r="A39" s="3" t="inlineStr">
        <is>
          <t>Still MVR (§4)</t>
        </is>
      </c>
      <c r="B39" s="4" t="inlineStr">
        <is>
          <t>heat-outage regenerator</t>
        </is>
      </c>
      <c r="C39" s="4" t="inlineStr">
        <is>
          <t>~110–140 W electric</t>
        </is>
      </c>
      <c r="D39" s="4" t="inlineStr">
        <is>
          <t>full still duty, no heat source</t>
        </is>
      </c>
      <c r="E39" s="4" t="inlineStr">
        <is>
          <t>120–160 Wh/kg</t>
        </is>
      </c>
      <c r="F39" s="4" t="inlineStr">
        <is>
          <t>compressor mist pre-gate</t>
        </is>
      </c>
      <c r="G39" s="4" t="inlineStr">
        <is>
          <t>electron-rich</t>
        </is>
      </c>
      <c r="H39" s="2" t="inlineStr">
        <is>
          <t>Makes the moisture battery rechargeable on electricity alone</t>
        </is>
      </c>
    </row>
    <row r="40">
      <c r="A40" s="3" t="inlineStr">
        <is>
          <t>Closed AlFu chiller (§5)</t>
        </is>
      </c>
      <c r="B40" s="4" t="inlineStr">
        <is>
          <t>heat-rich boost</t>
        </is>
      </c>
      <c r="C40" s="4" t="inlineStr">
        <is>
          <t>2–2.5 kW solar/waste heat</t>
        </is>
      </c>
      <c r="D40" s="4" t="inlineStr">
        <is>
          <t>heat-driven brine chilling</t>
        </is>
      </c>
      <c r="E40" s="4" t="inlineStr">
        <is>
          <t>COP_th 0.4–0.5</t>
        </is>
      </c>
      <c r="F40" s="4" t="inlineStr">
        <is>
          <t>solid M-series + leak-down</t>
        </is>
      </c>
      <c r="G40" s="4" t="inlineStr">
        <is>
          <t>heat-rich, electricity-poor</t>
        </is>
      </c>
      <c r="H40" s="2" t="inlineStr">
        <is>
          <t>Closed cycle → no purge → X2-clean: the solid chemistry finally works on solar heat</t>
        </is>
      </c>
    </row>
    <row r="41">
      <c r="A41" s="3" t="inlineStr">
        <is>
          <t>Static crystallizer (§6)</t>
        </is>
      </c>
      <c r="B41" s="4" t="inlineStr">
        <is>
          <t>mass-limited platforms</t>
        </is>
      </c>
      <c r="C41" s="4" t="inlineStr">
        <is>
          <t>reserve tank mass</t>
        </is>
      </c>
      <c r="D41" s="4" t="inlineStr">
        <is>
          <t>3–5× denser moisture battery</t>
        </is>
      </c>
      <c r="E41" s="4" t="inlineStr">
        <is>
          <t>35–40 → 10–15 kg</t>
        </is>
      </c>
      <c r="F41" s="4" t="inlineStr">
        <is>
          <t>test A3 (~$10)</t>
        </is>
      </c>
      <c r="G41" s="4" t="inlineStr">
        <is>
          <t>marine mass-limited</t>
        </is>
      </c>
      <c r="H41" s="2" t="inlineStr">
        <is>
          <t>Crystals never travel — the pot is valve-isolated</t>
        </is>
      </c>
    </row>
    <row r="42">
      <c r="A42" s="36" t="inlineStr">
        <is>
          <t>REJECTED: heat pump as prime mover</t>
        </is>
      </c>
      <c r="B42" s="37" t="inlineStr">
        <is>
          <t>—</t>
        </is>
      </c>
      <c r="C42" s="37" t="inlineStr">
        <is>
          <t>~2 kW electric</t>
        </is>
      </c>
      <c r="D42" s="37" t="inlineStr">
        <is>
          <t>regeneration-grade heat</t>
        </is>
      </c>
      <c r="E42" s="37" t="inlineStr">
        <is>
          <t>COP_h 3.5–4</t>
        </is>
      </c>
      <c r="F42" s="37" t="inlineStr">
        <is>
          <t>—</t>
        </is>
      </c>
      <c r="G42" s="37" t="inlineStr">
        <is>
          <t>none</t>
        </is>
      </c>
      <c r="H42" s="38" t="inlineStr">
        <is>
          <t>Loses outright to a 1–3 kW VC-AC and abandons the heat-flexibility proposition</t>
        </is>
      </c>
    </row>
  </sheetData>
  <mergeCells count="8">
    <mergeCell ref="A12:H12"/>
    <mergeCell ref="A4:H4"/>
    <mergeCell ref="A1:H1"/>
    <mergeCell ref="A35:H35"/>
    <mergeCell ref="A2:H2"/>
    <mergeCell ref="A14:H14"/>
    <mergeCell ref="A5:H5"/>
    <mergeCell ref="A23:H23"/>
  </mergeCells>
  <conditionalFormatting sqref="G8">
    <cfRule type="cellIs" priority="1" operator="equal" dxfId="2">
      <formula>"OK"</formula>
    </cfRule>
    <cfRule type="cellIs" priority="2" operator="equal" dxfId="4">
      <formula>"REVIEW"</formula>
    </cfRule>
  </conditionalFormatting>
  <conditionalFormatting sqref="G9">
    <cfRule type="cellIs" priority="3" operator="equal" dxfId="2">
      <formula>"OK"</formula>
    </cfRule>
    <cfRule type="cellIs" priority="4" operator="equal" dxfId="4">
      <formula>"REVIEW"</formula>
    </cfRule>
  </conditionalFormatting>
  <conditionalFormatting sqref="G10">
    <cfRule type="cellIs" priority="5" operator="equal" dxfId="2">
      <formula>"OK"</formula>
    </cfRule>
    <cfRule type="cellIs" priority="6" operator="equal" dxfId="4">
      <formula>"REVIEW"</formula>
    </cfRule>
  </conditionalFormatting>
  <conditionalFormatting sqref="G11">
    <cfRule type="cellIs" priority="7" operator="equal" dxfId="2">
      <formula>"OK"</formula>
    </cfRule>
    <cfRule type="cellIs" priority="8" operator="equal" dxfId="4">
      <formula>"REVIEW"</formula>
    </cfRule>
  </conditionalFormatting>
  <printOptions horizontalCentered="1"/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I3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10" customWidth="1" min="4" max="4"/>
    <col width="10" customWidth="1" min="5" max="5"/>
    <col width="12" customWidth="1" min="6" max="6"/>
    <col width="12" customWidth="1" min="7" max="7"/>
    <col width="62" customWidth="1" min="8" max="8"/>
    <col width="62" customWidth="1" min="9" max="9"/>
  </cols>
  <sheetData>
    <row r="1" ht="22" customHeight="1">
      <c r="A1" s="1" t="inlineStr">
        <is>
          <t>Test program — cheapest decisive experiment first</t>
        </is>
      </c>
    </row>
    <row r="2">
      <c r="A2" s="2" t="inlineStr">
        <is>
          <t>Every PENDING grade in the register points at a row here. The budget sums live: change the in-baseline flag and the total follows.</t>
        </is>
      </c>
    </row>
    <row r="3">
      <c r="A3" s="3" t="inlineStr">
        <is>
          <t>Baseline gating budget</t>
        </is>
      </c>
      <c r="D3" s="39">
        <f>SUMIF($G$6:$G$31,"yes",D6:D31)</f>
        <v/>
      </c>
      <c r="E3" s="39">
        <f>SUMIF($G$6:$G$31,"yes",E6:E31)</f>
        <v/>
      </c>
      <c r="F3" s="4" t="inlineStr">
        <is>
          <t>USD</t>
        </is>
      </c>
      <c r="H3" s="2" t="inlineStr">
        <is>
          <t>Live sum of the tests flagged in-baseline above. The former '~$485–755' aggregate headline was retired in doc 12 v1.4 — it did not decompose from the table and a currency-and-date-specific total dates badly in a prior-art record. Read every cost here as 2026 order-of-magnitude, one currency, one region.</t>
        </is>
      </c>
    </row>
    <row r="4">
      <c r="A4" s="3" t="inlineStr">
        <is>
          <t>All listed tests</t>
        </is>
      </c>
      <c r="D4" s="39">
        <f>SUM(D6:D31)</f>
        <v/>
      </c>
      <c r="E4" s="39">
        <f>SUM(E6:E31)</f>
        <v/>
      </c>
      <c r="F4" s="4" t="inlineStr">
        <is>
          <t>USD</t>
        </is>
      </c>
      <c r="H4" s="2" t="inlineStr">
        <is>
          <t>Including the platform-conditional entries (A2, A3, C, J-K, L) that join the set only when their trigger exists. Solid-track T/M entries carry no cost line in the documents — they are effort, plus outsourced PXRD/DVS fees.</t>
        </is>
      </c>
    </row>
    <row r="5" ht="30" customHeight="1">
      <c r="A5" s="15" t="inlineStr">
        <is>
          <t>ID</t>
        </is>
      </c>
      <c r="B5" s="15" t="inlineStr">
        <is>
          <t>Track</t>
        </is>
      </c>
      <c r="C5" s="15" t="inlineStr">
        <is>
          <t>Title</t>
        </is>
      </c>
      <c r="D5" s="15" t="inlineStr">
        <is>
          <t>Cost lo</t>
        </is>
      </c>
      <c r="E5" s="15" t="inlineStr">
        <is>
          <t>Cost hi</t>
        </is>
      </c>
      <c r="F5" s="15" t="inlineStr">
        <is>
          <t>Duration</t>
        </is>
      </c>
      <c r="G5" s="15" t="inlineStr">
        <is>
          <t>In baseline</t>
        </is>
      </c>
      <c r="H5" s="15" t="inlineStr">
        <is>
          <t>What it measures</t>
        </is>
      </c>
      <c r="I5" s="15" t="inlineStr">
        <is>
          <t>What it decides</t>
        </is>
      </c>
    </row>
    <row r="6">
      <c r="A6" s="3" t="inlineStr">
        <is>
          <t>A</t>
        </is>
      </c>
      <c r="B6" s="4" t="inlineStr">
        <is>
          <t>Liquid</t>
        </is>
      </c>
      <c r="C6" s="4" t="inlineStr">
        <is>
          <t>Jar equilibrium — real aw table</t>
        </is>
      </c>
      <c r="D6" s="40" t="n">
        <v>30</v>
      </c>
      <c r="E6" s="40" t="n">
        <v>30</v>
      </c>
      <c r="F6" s="4" t="inlineStr">
        <is>
          <t>days</t>
        </is>
      </c>
      <c r="G6" s="41" t="inlineStr">
        <is>
          <t>yes</t>
        </is>
      </c>
      <c r="H6" s="4" t="inlineStr">
        <is>
          <t>Sealed jars + RH probe over CaCl₂ 35/38/40/42/44 wt% (+LiCl arm) at ~27 and ~33 °C</t>
        </is>
      </c>
      <c r="I6" s="4" t="inlineStr">
        <is>
          <t>Go/no-go: 40 wt% @ 33 °C ≤ 55% ERH. Feeds every floor number and the X12 lift inequality</t>
        </is>
      </c>
    </row>
    <row r="7">
      <c r="A7" s="3" t="inlineStr">
        <is>
          <t>A2</t>
        </is>
      </c>
      <c r="B7" s="4" t="inlineStr">
        <is>
          <t>Liquid</t>
        </is>
      </c>
      <c r="C7" s="4" t="inlineStr">
        <is>
          <t>Aerated hot coupon (formate variant)</t>
        </is>
      </c>
      <c r="D7" s="40" t="n">
        <v>20</v>
      </c>
      <c r="E7" s="40" t="n">
        <v>20</v>
      </c>
      <c r="F7" s="4" t="inlineStr">
        <is>
          <t>weeks</t>
        </is>
      </c>
      <c r="G7" s="17" t="inlineStr">
        <is>
          <t>no</t>
        </is>
      </c>
      <c r="H7" s="4" t="inlineStr">
        <is>
          <t>Whether potassium-formate brine survives aerated 80 °C service</t>
        </is>
      </c>
      <c r="I7" s="4" t="inlineStr">
        <is>
          <t>Materials relaxation for that variant only</t>
        </is>
      </c>
    </row>
    <row r="8">
      <c r="A8" s="3" t="inlineStr">
        <is>
          <t>A3</t>
        </is>
      </c>
      <c r="B8" s="4" t="inlineStr">
        <is>
          <t>Upgrade</t>
        </is>
      </c>
      <c r="C8" s="4" t="inlineStr">
        <is>
          <t>Crystallizer jar extension</t>
        </is>
      </c>
      <c r="D8" s="40" t="n">
        <v>10</v>
      </c>
      <c r="E8" s="40" t="n">
        <v>10</v>
      </c>
      <c r="F8" s="4" t="inlineStr">
        <is>
          <t>days</t>
        </is>
      </c>
      <c r="G8" s="17" t="inlineStr">
        <is>
          <t>no</t>
        </is>
      </c>
      <c r="H8" s="4" t="inlineStr">
        <is>
          <t>Seeded vs unseeded 44 wt% parked at ~25 °C: supercooling, phase, caking over 50–100 cycles</t>
        </is>
      </c>
      <c r="I8" s="4" t="inlineStr">
        <is>
          <t>Gates the static crystallizer pot (doc 31 §6); mass-limited platforms only</t>
        </is>
      </c>
    </row>
    <row r="9">
      <c r="A9" s="3" t="inlineStr">
        <is>
          <t>B</t>
        </is>
      </c>
      <c r="B9" s="4" t="inlineStr">
        <is>
          <t>Liquid</t>
        </is>
      </c>
      <c r="C9" s="4" t="inlineStr">
        <is>
          <t>Aerosol drift — steel coupon</t>
        </is>
      </c>
      <c r="D9" s="40" t="n">
        <v>5</v>
      </c>
      <c r="E9" s="40" t="n">
        <v>5</v>
      </c>
      <c r="F9" s="4" t="inlineStr">
        <is>
          <t>1 week</t>
        </is>
      </c>
      <c r="G9" s="41" t="inlineStr">
        <is>
          <t>yes</t>
        </is>
      </c>
      <c r="H9" s="4" t="inlineStr">
        <is>
          <t>Bare mild-steel coupon downstream of eliminator + demister, max face velocity, trickle and flooded</t>
        </is>
      </c>
      <c r="I9" s="4" t="inlineStr">
        <is>
          <t>Any rust = redesign before any cabin connection. Also arbitrates X3 (safety register item 3)</t>
        </is>
      </c>
    </row>
    <row r="10">
      <c r="A10" s="3" t="inlineStr">
        <is>
          <t>C</t>
        </is>
      </c>
      <c r="B10" s="4" t="inlineStr">
        <is>
          <t>Liquid</t>
        </is>
      </c>
      <c r="C10" s="4" t="inlineStr">
        <is>
          <t>Bubble column / sparger shootout</t>
        </is>
      </c>
      <c r="D10" s="40" t="n">
        <v>150</v>
      </c>
      <c r="E10" s="40" t="n">
        <v>150</v>
      </c>
      <c r="F10" s="4" t="inlineStr">
        <is>
          <t>weeks</t>
        </is>
      </c>
      <c r="G10" s="17" t="inlineStr">
        <is>
          <t>no</t>
        </is>
      </c>
      <c r="H10" s="4" t="inlineStr">
        <is>
          <t>Sparger dynamic wet pressure comparison</t>
        </is>
      </c>
      <c r="I10" s="4" t="inlineStr">
        <is>
          <t>Only if the column annex is ordered</t>
        </is>
      </c>
    </row>
    <row r="11">
      <c r="A11" s="3" t="inlineStr">
        <is>
          <t>D</t>
        </is>
      </c>
      <c r="B11" s="4" t="inlineStr">
        <is>
          <t>Liquid</t>
        </is>
      </c>
      <c r="C11" s="4" t="inlineStr">
        <is>
          <t>Regeneration COP</t>
        </is>
      </c>
      <c r="D11" s="40" t="n">
        <v>50</v>
      </c>
      <c r="E11" s="40" t="n">
        <v>50</v>
      </c>
      <c r="F11" s="4" t="inlineStr">
        <is>
          <t>days</t>
        </is>
      </c>
      <c r="G11" s="41" t="inlineStr">
        <is>
          <t>yes</t>
        </is>
      </c>
      <c r="H11" s="4" t="inlineStr">
        <is>
          <t>Still tray + air-swept at 60/70/85 °C incl. the PVC-tray 60 °C point and condenser approach</t>
        </is>
      </c>
      <c r="I11" s="4" t="inlineStr">
        <is>
          <t>Confirms the 0.55–0.75 COP band and the degraded ladder</t>
        </is>
      </c>
    </row>
    <row r="12">
      <c r="A12" s="3" t="inlineStr">
        <is>
          <t>E</t>
        </is>
      </c>
      <c r="B12" s="4" t="inlineStr">
        <is>
          <t>Liquid</t>
        </is>
      </c>
      <c r="C12" s="4" t="inlineStr">
        <is>
          <t>ERV core</t>
        </is>
      </c>
      <c r="D12" s="40" t="n">
        <v>80</v>
      </c>
      <c r="E12" s="40" t="n">
        <v>150</v>
      </c>
      <c r="F12" s="4" t="inlineStr">
        <is>
          <t>weeks</t>
        </is>
      </c>
      <c r="G12" s="41" t="inlineStr">
        <is>
          <t>yes</t>
        </is>
      </c>
      <c r="H12" s="4" t="inlineStr">
        <is>
          <t>Real ε_lat; salt-aerosol fouling trend (U-tube ΔP); condensation at DP-A inlet; CO₂ crossover</t>
        </is>
      </c>
      <c r="I12" s="4" t="inlineStr">
        <is>
          <t>Gates the 9–11 kWh/day heat budget (X7); EATR &lt;5%</t>
        </is>
      </c>
    </row>
    <row r="13">
      <c r="A13" s="3" t="inlineStr">
        <is>
          <t>F</t>
        </is>
      </c>
      <c r="B13" s="4" t="inlineStr">
        <is>
          <t>Liquid</t>
        </is>
      </c>
      <c r="C13" s="4" t="inlineStr">
        <is>
          <t>Endurance (passive)</t>
        </is>
      </c>
      <c r="D13" s="40" t="n">
        <v>0</v>
      </c>
      <c r="E13" s="40" t="n">
        <v>0</v>
      </c>
      <c r="F13" s="4" t="inlineStr">
        <is>
          <t>months</t>
        </is>
      </c>
      <c r="G13" s="41" t="inlineStr">
        <is>
          <t>yes</t>
        </is>
      </c>
      <c r="H13" s="4" t="inlineStr">
        <is>
          <t>Locker/closet-dryer duty: salt creep, fouling, crystallization events, ΔP trend</t>
        </is>
      </c>
      <c r="I13" s="4" t="inlineStr">
        <is>
          <t>Runs behind everything else at zero cost</t>
        </is>
      </c>
    </row>
    <row r="14">
      <c r="A14" s="3" t="inlineStr">
        <is>
          <t>G</t>
        </is>
      </c>
      <c r="B14" s="4" t="inlineStr">
        <is>
          <t>Liquid</t>
        </is>
      </c>
      <c r="C14" s="4" t="inlineStr">
        <is>
          <t>Sealed-still rate</t>
        </is>
      </c>
      <c r="D14" s="40" t="n">
        <v>40</v>
      </c>
      <c r="E14" s="40" t="n">
        <v>40</v>
      </c>
      <c r="F14" s="4" t="inlineStr">
        <is>
          <t>days</t>
        </is>
      </c>
      <c r="G14" s="41" t="inlineStr">
        <is>
          <t>yes</t>
        </is>
      </c>
      <c r="H14" s="4" t="inlineStr">
        <is>
          <t>kg/h·m² vs pool temperature; condensate TDS (entrainment ≈ 0); TDS on the air-swept condenser stream</t>
        </is>
      </c>
      <c r="I14" s="4" t="inlineStr">
        <is>
          <t>Gates distillate quality claims and the X8 degraded-mode condensate</t>
        </is>
      </c>
    </row>
    <row r="15">
      <c r="A15" s="3" t="inlineStr">
        <is>
          <t>H</t>
        </is>
      </c>
      <c r="B15" s="4" t="inlineStr">
        <is>
          <t>Both</t>
        </is>
      </c>
      <c r="C15" s="4" t="inlineStr">
        <is>
          <t>M-cycle wetting / heel</t>
        </is>
      </c>
      <c r="D15" s="40" t="n">
        <v>60</v>
      </c>
      <c r="E15" s="40" t="n">
        <v>60</v>
      </c>
      <c r="F15" s="4" t="inlineStr">
        <is>
          <t>days</t>
        </is>
      </c>
      <c r="G15" s="41" t="inlineStr">
        <is>
          <t>yes</t>
        </is>
      </c>
      <c r="H15" s="4" t="inlineStr">
        <is>
          <t>Supply temp vs feed humidity; 5/10/15° tilt; closed-loop feed point (X8 recycled dried exhaust)</t>
        </is>
      </c>
      <c r="I15" s="4" t="inlineStr">
        <is>
          <t>Shared verbatim with the solid track — one experiment serves both</t>
        </is>
      </c>
    </row>
    <row r="16">
      <c r="A16" s="3" t="inlineStr">
        <is>
          <t>I</t>
        </is>
      </c>
      <c r="B16" s="4" t="inlineStr">
        <is>
          <t>Liquid</t>
        </is>
      </c>
      <c r="C16" s="4" t="inlineStr">
        <is>
          <t>Film cell prototype — THE GATE</t>
        </is>
      </c>
      <c r="D16" s="40" t="n">
        <v>150</v>
      </c>
      <c r="E16" s="40" t="n">
        <v>250</v>
      </c>
      <c r="F16" s="4" t="inlineStr">
        <is>
          <t>weeks</t>
        </is>
      </c>
      <c r="G16" s="41" t="inlineStr">
        <is>
          <t>yes</t>
        </is>
      </c>
      <c r="H16" s="4" t="inlineStr">
        <is>
          <t>Outlet RH vs irrigation rate FIRST; 1/2/3-stage NTU/m; face velocity incl. the ~123 m³/h point; rocking rig 5–20°; flooded run</t>
        </is>
      </c>
      <c r="I16" s="4" t="inlineStr">
        <is>
          <t>The liquid gate: if the capacity model holds, the bank build proceeds</t>
        </is>
      </c>
    </row>
    <row r="17">
      <c r="A17" s="3" t="inlineStr">
        <is>
          <t>J</t>
        </is>
      </c>
      <c r="B17" s="4" t="inlineStr">
        <is>
          <t>Shared</t>
        </is>
      </c>
      <c r="C17" s="4" t="inlineStr">
        <is>
          <t>CO₂ sorbent (amine)</t>
        </is>
      </c>
      <c r="D17" s="40" t="n">
        <v>150</v>
      </c>
      <c r="E17" s="40" t="n">
        <v>300</v>
      </c>
      <c r="F17" s="4" t="inlineStr">
        <is>
          <t>weeks</t>
        </is>
      </c>
      <c r="G17" s="41" t="inlineStr">
        <is>
          <t>yes</t>
        </is>
      </c>
      <c r="H17" s="4" t="inlineStr">
        <is>
          <t>Capacity at 1,000–1,500 ppm / 45–55% RH; desorption completeness 85–95 °C; water co-adsorption; amine/ammonia slip; fade over 10²–10³ cycles</t>
        </is>
      </c>
      <c r="I17" s="4" t="inlineStr">
        <is>
          <t>Required-PENDING: gates X10 entirely and the breathing-air connection. Fallback = oversized ERV + DCV</t>
        </is>
      </c>
    </row>
    <row r="18">
      <c r="A18" s="3" t="inlineStr">
        <is>
          <t>J-K</t>
        </is>
      </c>
      <c r="B18" s="4" t="inlineStr">
        <is>
          <t>Shared</t>
        </is>
      </c>
      <c r="C18" s="4" t="inlineStr">
        <is>
          <t>CO₂ sorbent (potash variant)</t>
        </is>
      </c>
      <c r="D18" s="40" t="n">
        <v>40</v>
      </c>
      <c r="E18" s="40" t="n">
        <v>80</v>
      </c>
      <c r="F18" s="4" t="inlineStr">
        <is>
          <t>weeks</t>
        </is>
      </c>
      <c r="G18" s="17" t="inlineStr">
        <is>
          <t>no</t>
        </is>
      </c>
      <c r="H18" s="4" t="inlineStr">
        <is>
          <t>K₂CO₃-on-apolar-carbon: capacity, regeneration at 120/135/150 °C with logged purge, alumina-deactivation control, caking, alkaline carryover, 10² cycles</t>
        </is>
      </c>
      <c r="I18" s="4" t="inlineStr">
        <is>
          <t>Waste-heat platforms with a ≥~130 °C tap only (X11)</t>
        </is>
      </c>
    </row>
    <row r="19">
      <c r="A19" s="3" t="inlineStr">
        <is>
          <t>L</t>
        </is>
      </c>
      <c r="B19" s="4" t="inlineStr">
        <is>
          <t>Upgrade</t>
        </is>
      </c>
      <c r="C19" s="4" t="inlineStr">
        <is>
          <t>Hot-film absorption (AHT)</t>
        </is>
      </c>
      <c r="D19" s="40" t="n">
        <v>60</v>
      </c>
      <c r="E19" s="40" t="n">
        <v>120</v>
      </c>
      <c r="F19" s="4" t="inlineStr">
        <is>
          <t>weeks</t>
        </is>
      </c>
      <c r="G19" s="17" t="inlineStr">
        <is>
          <t>no</t>
        </is>
      </c>
      <c r="H19" s="4" t="inlineStr">
        <is>
          <t>Absorption rate and approach of a 43–44 wt% film at 85/88/90 °C against ~20–25 kPa steam; drain-back-on-stop and a deliberate cool-in-place fault</t>
        </is>
      </c>
      <c r="I19" s="4" t="inlineStr">
        <is>
          <t>Gates X12. Go/no-go: measurable absorption at 88–90 °C with test A's aw table confirming the margin</t>
        </is>
      </c>
    </row>
    <row r="20">
      <c r="A20" s="3" t="inlineStr">
        <is>
          <t>T1</t>
        </is>
      </c>
      <c r="B20" s="4" t="inlineStr">
        <is>
          <t>Solid</t>
        </is>
      </c>
      <c r="C20" s="4" t="inlineStr">
        <is>
          <t>Mill-zero synthesis batch</t>
        </is>
      </c>
      <c r="D20" s="40" t="n"/>
      <c r="E20" s="40" t="n"/>
      <c r="F20" s="4" t="inlineStr">
        <is>
          <t>days</t>
        </is>
      </c>
      <c r="G20" s="41" t="inlineStr">
        <is>
          <t>yes</t>
        </is>
      </c>
      <c r="H20" s="4" t="inlineStr">
        <is>
          <t>Mortar-and-pestle ~25 g LAG batch with the F4 feedstock branch pre-loaded</t>
        </is>
      </c>
      <c r="I20" s="4" t="inlineStr">
        <is>
          <t>Stage 0 of the staged pipeline</t>
        </is>
      </c>
    </row>
    <row r="21">
      <c r="A21" s="3" t="inlineStr">
        <is>
          <t>T2</t>
        </is>
      </c>
      <c r="B21" s="4" t="inlineStr">
        <is>
          <t>Solid</t>
        </is>
      </c>
      <c r="C21" s="4" t="inlineStr">
        <is>
          <t>Full airflow–moisture transient model</t>
        </is>
      </c>
      <c r="D21" s="40" t="n"/>
      <c r="E21" s="40" t="n"/>
      <c r="F21" s="4" t="inlineStr">
        <is>
          <t>weeks</t>
        </is>
      </c>
      <c r="G21" s="41" t="inlineStr">
        <is>
          <t>yes</t>
        </is>
      </c>
      <c r="H21" s="4" t="inlineStr">
        <is>
          <t>Supersedes the doc 00 §4 steady state; sets charge, coated area, condenser duty, fan power</t>
        </is>
      </c>
      <c r="I21" s="4" t="inlineStr">
        <is>
          <t>Gates every downstream solid size — the first modelling task before hardware</t>
        </is>
      </c>
    </row>
    <row r="22">
      <c r="A22" s="3" t="inlineStr">
        <is>
          <t>T3</t>
        </is>
      </c>
      <c r="B22" s="4" t="inlineStr">
        <is>
          <t>Solid</t>
        </is>
      </c>
      <c r="C22" s="4" t="inlineStr">
        <is>
          <t>RH / DAQ channel budget</t>
        </is>
      </c>
      <c r="D22" s="40" t="n"/>
      <c r="E22" s="40" t="n"/>
      <c r="F22" s="4" t="inlineStr">
        <is>
          <t>days</t>
        </is>
      </c>
      <c r="G22" s="41" t="inlineStr">
        <is>
          <t>yes</t>
        </is>
      </c>
      <c r="H22" s="4" t="inlineStr">
        <is>
          <t>Wet/dry-bulb + K-type channel plan before M2 (second logger or unified ESP32 node)</t>
        </is>
      </c>
      <c r="I22" s="4" t="inlineStr">
        <is>
          <t>On the critical path for M2</t>
        </is>
      </c>
    </row>
    <row r="23">
      <c r="A23" s="3" t="inlineStr">
        <is>
          <t>T4</t>
        </is>
      </c>
      <c r="B23" s="4" t="inlineStr">
        <is>
          <t>Solid</t>
        </is>
      </c>
      <c r="C23" s="4" t="inlineStr">
        <is>
          <t>Outsourced PXRD + DVS</t>
        </is>
      </c>
      <c r="D23" s="40" t="n"/>
      <c r="E23" s="40" t="n"/>
      <c r="F23" s="4" t="inlineStr">
        <is>
          <t>weeks</t>
        </is>
      </c>
      <c r="G23" s="41" t="inlineStr">
        <is>
          <t>yes</t>
        </is>
      </c>
      <c r="H23" s="4" t="inlineStr">
        <is>
          <t>Phase match to A520 and the Type V step at 25–30% RH</t>
        </is>
      </c>
      <c r="I23" s="4" t="inlineStr">
        <is>
          <t>The real pass/fail gate on synthesis (QC gates 3 and 5)</t>
        </is>
      </c>
    </row>
    <row r="24">
      <c r="A24" s="3" t="inlineStr">
        <is>
          <t>T5</t>
        </is>
      </c>
      <c r="B24" s="4" t="inlineStr">
        <is>
          <t>Solid</t>
        </is>
      </c>
      <c r="C24" s="4" t="inlineStr">
        <is>
          <t>Coating SOP</t>
        </is>
      </c>
      <c r="D24" s="40" t="n"/>
      <c r="E24" s="40" t="n"/>
      <c r="F24" s="4" t="inlineStr">
        <is>
          <t>weeks</t>
        </is>
      </c>
      <c r="G24" s="41" t="inlineStr">
        <is>
          <t>yes</t>
        </is>
      </c>
      <c r="H24" s="4" t="inlineStr">
        <is>
          <t>PVA grade locked, anneal mandatory, adhesion and capacity retention</t>
        </is>
      </c>
      <c r="I24" s="4" t="inlineStr">
        <is>
          <t>Runs on the commercial A520 lot so coating never blocks on synthesis</t>
        </is>
      </c>
    </row>
    <row r="25">
      <c r="A25" s="3" t="inlineStr">
        <is>
          <t>T6</t>
        </is>
      </c>
      <c r="B25" s="4" t="inlineStr">
        <is>
          <t>Solid</t>
        </is>
      </c>
      <c r="C25" s="4" t="inlineStr">
        <is>
          <t>Bench M1–M4</t>
        </is>
      </c>
      <c r="D25" s="40" t="n"/>
      <c r="E25" s="40" t="n"/>
      <c r="F25" s="4" t="inlineStr">
        <is>
          <t>weeks</t>
        </is>
      </c>
      <c r="G25" s="41" t="inlineStr">
        <is>
          <t>yes</t>
        </is>
      </c>
      <c r="H25" s="4" t="inlineStr">
        <is>
          <t>M2 against a representative ~24 g/kg purge → effective Δq</t>
        </is>
      </c>
      <c r="I25" s="4" t="inlineStr">
        <is>
          <t>Gates the heat-source decision and the inventory</t>
        </is>
      </c>
    </row>
    <row r="26">
      <c r="A26" s="3" t="inlineStr">
        <is>
          <t>T8</t>
        </is>
      </c>
      <c r="B26" s="4" t="inlineStr">
        <is>
          <t>Solid</t>
        </is>
      </c>
      <c r="C26" s="4" t="inlineStr">
        <is>
          <t>Silica-wheel benchmark quote</t>
        </is>
      </c>
      <c r="D26" s="40" t="n"/>
      <c r="E26" s="40" t="n"/>
      <c r="F26" s="4" t="inlineStr">
        <is>
          <t>days</t>
        </is>
      </c>
      <c r="G26" s="41" t="inlineStr">
        <is>
          <t>yes</t>
        </is>
      </c>
      <c r="H26" s="4" t="inlineStr">
        <is>
          <t>Commercial wheel sized to the T2 duty</t>
        </is>
      </c>
      <c r="I26" s="4" t="inlineStr">
        <is>
          <t>The fallback at any gate — and the honest benchmark</t>
        </is>
      </c>
    </row>
    <row r="27">
      <c r="A27" s="3" t="inlineStr">
        <is>
          <t>T9</t>
        </is>
      </c>
      <c r="B27" s="4" t="inlineStr">
        <is>
          <t>Solid</t>
        </is>
      </c>
      <c r="C27" s="4" t="inlineStr">
        <is>
          <t>Commercial Basolite A520 lot</t>
        </is>
      </c>
      <c r="D27" s="40" t="n"/>
      <c r="E27" s="40" t="n"/>
      <c r="F27" s="4" t="inlineStr">
        <is>
          <t>days</t>
        </is>
      </c>
      <c r="G27" s="41" t="inlineStr">
        <is>
          <t>yes</t>
        </is>
      </c>
      <c r="H27" s="4" t="inlineStr">
        <is>
          <t>25–100 g buy-to-validate lot</t>
        </is>
      </c>
      <c r="I27" s="4" t="inlineStr">
        <is>
          <t>Parallel path: coating work proceeds independently of synthesis</t>
        </is>
      </c>
    </row>
    <row r="28">
      <c r="A28" s="3" t="inlineStr">
        <is>
          <t>M1</t>
        </is>
      </c>
      <c r="B28" s="4" t="inlineStr">
        <is>
          <t>Solid</t>
        </is>
      </c>
      <c r="C28" s="4" t="inlineStr">
        <is>
          <t>Adsorption working capacity + coated-face ΔP</t>
        </is>
      </c>
      <c r="D28" s="40" t="n"/>
      <c r="E28" s="40" t="n"/>
      <c r="F28" s="4" t="inlineStr">
        <is>
          <t>days</t>
        </is>
      </c>
      <c r="G28" s="41" t="inlineStr">
        <is>
          <t>yes</t>
        </is>
      </c>
      <c r="H28" s="4" t="inlineStr">
        <is>
          <t>Weigh activated-dry coupon → saturate isothermally → reweigh; U-tube manometer at design face velocity</t>
        </is>
      </c>
      <c r="I28" s="4" t="inlineStr">
        <is>
          <t>ΔP gates the 0.6–1.0 kW fan-power line</t>
        </is>
      </c>
    </row>
    <row r="29">
      <c r="A29" s="3" t="inlineStr">
        <is>
          <t>M2</t>
        </is>
      </c>
      <c r="B29" s="4" t="inlineStr">
        <is>
          <t>Solid</t>
        </is>
      </c>
      <c r="C29" s="4" t="inlineStr">
        <is>
          <t>Regeneration vs representative humid purge</t>
        </is>
      </c>
      <c r="D29" s="40" t="n"/>
      <c r="E29" s="40" t="n"/>
      <c r="F29" s="4" t="inlineStr">
        <is>
          <t>weeks</t>
        </is>
      </c>
      <c r="G29" s="41" t="inlineStr">
        <is>
          <t>yes</t>
        </is>
      </c>
      <c r="H29" s="4" t="inlineStr">
        <is>
          <t>One 45–50 °C confirmation, then completeness and kinetics at 60/65/70 °C against a logged ~24 g/kg purge</t>
        </is>
      </c>
      <c r="I29" s="4" t="inlineStr">
        <is>
          <t>THE most economically consequential measurement: confirms F2, extracts the F3 effective Δq</t>
        </is>
      </c>
    </row>
    <row r="30">
      <c r="A30" s="3" t="inlineStr">
        <is>
          <t>M3</t>
        </is>
      </c>
      <c r="B30" s="4" t="inlineStr">
        <is>
          <t>Solid</t>
        </is>
      </c>
      <c r="C30" s="4" t="inlineStr">
        <is>
          <t>Specific regeneration energy</t>
        </is>
      </c>
      <c r="D30" s="40" t="n"/>
      <c r="E30" s="40" t="n"/>
      <c r="F30" s="4" t="inlineStr">
        <is>
          <t>weeks</t>
        </is>
      </c>
      <c r="G30" s="41" t="inlineStr">
        <is>
          <t>yes</t>
        </is>
      </c>
      <c r="H30" s="4" t="inlineStr">
        <is>
          <t>Fluid-side balance Q = ∫ṁ·c_p·ΔT dt, dry blank first, then wet; condensate cross-check</t>
        </is>
      </c>
      <c r="I30" s="4" t="inlineStr">
        <is>
          <t>vs the 0.67 kWh/L latent floor and 0.8–1.0 kWh/L total</t>
        </is>
      </c>
    </row>
    <row r="31">
      <c r="A31" s="3" t="inlineStr">
        <is>
          <t>M4</t>
        </is>
      </c>
      <c r="B31" s="4" t="inlineStr">
        <is>
          <t>Solid</t>
        </is>
      </c>
      <c r="C31" s="4" t="inlineStr">
        <is>
          <t>Cycling durability + salt-air edge behaviour</t>
        </is>
      </c>
      <c r="D31" s="40" t="n"/>
      <c r="E31" s="40" t="n"/>
      <c r="F31" s="4" t="inlineStr">
        <is>
          <t>months</t>
        </is>
      </c>
      <c r="G31" s="41" t="inlineStr">
        <is>
          <t>yes</t>
        </is>
      </c>
      <c r="H31" s="4" t="inlineStr">
        <is>
          <t>10²–10³ swings, periodic M1 + dry-mass weigh, coating edge/defect inspection under salt aerosol</t>
        </is>
      </c>
      <c r="I31" s="4" t="inlineStr">
        <is>
          <t>Capacity fade and coating mass loss — the failure mode that matters (F5)</t>
        </is>
      </c>
    </row>
  </sheetData>
  <autoFilter ref="A5:I31"/>
  <mergeCells count="4">
    <mergeCell ref="A1:I1"/>
    <mergeCell ref="A2:I2"/>
    <mergeCell ref="H4:I4"/>
    <mergeCell ref="H3:I3"/>
  </mergeCells>
  <printOptions horizontalCentered="1"/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tabColor rgb="00833C00"/>
    <outlinePr summaryBelow="1" summaryRight="1"/>
    <pageSetUpPr fitToPage="1"/>
  </sheetPr>
  <dimension ref="A1:F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46" customWidth="1" min="3" max="3"/>
    <col width="74" customWidth="1" min="4" max="4"/>
    <col width="30" customWidth="1" min="5" max="5"/>
    <col width="22" customWidth="1" min="6" max="6"/>
  </cols>
  <sheetData>
    <row r="1" ht="22" customHeight="1">
      <c r="A1" s="1" t="inlineStr">
        <is>
          <t>Findings register (doc 40)</t>
        </is>
      </c>
    </row>
    <row r="2">
      <c r="A2" s="2" t="inlineStr">
        <is>
          <t>Stable IDs — never renumbered. Any change to a sizing figure or architecture decision must be reflected here with its ID.</t>
        </is>
      </c>
    </row>
    <row r="4" ht="30" customHeight="1">
      <c r="A4" s="15" t="inlineStr">
        <is>
          <t>ID</t>
        </is>
      </c>
      <c r="B4" s="15" t="inlineStr">
        <is>
          <t>Track</t>
        </is>
      </c>
      <c r="C4" s="15" t="inlineStr">
        <is>
          <t>Finding</t>
        </is>
      </c>
      <c r="D4" s="15" t="inlineStr">
        <is>
          <t>Consequence</t>
        </is>
      </c>
      <c r="E4" s="15" t="inlineStr">
        <is>
          <t>Status</t>
        </is>
      </c>
      <c r="F4" s="15" t="inlineStr">
        <is>
          <t>Lives in</t>
        </is>
      </c>
    </row>
    <row r="5">
      <c r="A5" s="3" t="inlineStr">
        <is>
          <t>F1</t>
        </is>
      </c>
      <c r="B5" s="4" t="inlineStr">
        <is>
          <t>Solid</t>
        </is>
      </c>
      <c r="C5" s="4" t="inlineStr">
        <is>
          <t>M-cycle working-air moisture is the dominant latent term</t>
        </is>
      </c>
      <c r="D5" s="4" t="inlineStr">
        <is>
          <t>Peak duty ~9–11 kg/h (not ~2); regen ~7.5–9 kW; condenser and fan duty scale with it. Closure: condensate covers M-cycle feed with ~50–70 L/day surplus</t>
        </is>
      </c>
      <c r="E5" s="42" t="inlineStr">
        <is>
          <t>PENDING T2 (full transient sets the final charge)</t>
        </is>
      </c>
      <c r="F5" s="4" t="inlineStr">
        <is>
          <t>00 §4; 20 §5</t>
        </is>
      </c>
    </row>
    <row r="6">
      <c r="A6" s="3" t="inlineStr">
        <is>
          <t>F2</t>
        </is>
      </c>
      <c r="B6" s="4" t="inlineStr">
        <is>
          <t>Solid</t>
        </is>
      </c>
      <c r="C6" s="4" t="inlineStr">
        <is>
          <t>Solar-direct regeneration is equilibrium-dead at the peak point</t>
        </is>
      </c>
      <c r="D6" s="4" t="inlineStr">
        <is>
          <t>Against a condensing purge (~25 g/kg) a 45–50 °C bed faces 29–38% RH at its face — at/above AlFu's step. Waste heat primary; the liquid track is the solar comfort island</t>
        </is>
      </c>
      <c r="E6" s="42" t="inlineStr">
        <is>
          <t>PENDING M2 (confirms; real deliverable is 60–65 °C completeness + effective Δq)</t>
        </is>
      </c>
      <c r="F6" s="4" t="inlineStr">
        <is>
          <t>20 §6</t>
        </is>
      </c>
    </row>
    <row r="7">
      <c r="A7" s="3" t="inlineStr">
        <is>
          <t>F3</t>
        </is>
      </c>
      <c r="B7" s="4" t="inlineStr">
        <is>
          <t>Solid</t>
        </is>
      </c>
      <c r="C7" s="4" t="inlineStr">
        <is>
          <t>The sizing Δq is optimistic</t>
        </is>
      </c>
      <c r="D7" s="4" t="inlineStr">
        <is>
          <t>0.2–0.3 g/g is a dry-purge full-swing figure; a 0.05–0.10 g/g residual cuts effective Δq to 0.15–0.2 (+25–50% inventory), compounding F1</t>
        </is>
      </c>
      <c r="E7" s="42" t="inlineStr">
        <is>
          <t>PENDING M2</t>
        </is>
      </c>
      <c r="F7" s="4" t="inlineStr">
        <is>
          <t>21 §6; 22 §4</t>
        </is>
      </c>
    </row>
    <row r="8">
      <c r="A8" s="3" t="inlineStr">
        <is>
          <t>F4</t>
        </is>
      </c>
      <c r="B8" s="4" t="inlineStr">
        <is>
          <t>Solid</t>
        </is>
      </c>
      <c r="C8" s="4" t="inlineStr">
        <is>
          <t>Mill-zero needs a feedstock-reactivity branch</t>
        </is>
      </c>
      <c r="D8" s="4" t="inlineStr">
        <is>
          <t>The literature mortar-and-pestle result used freshly precipitated amorphous Al(OH)₃; crystalline gibbsite is sluggish. A PXRD fail may be feedstock, not milling energy</t>
        </is>
      </c>
      <c r="E8" s="42" t="inlineStr">
        <is>
          <t>PENDING T1/T4</t>
        </is>
      </c>
      <c r="F8" s="4" t="inlineStr">
        <is>
          <t>21 §4</t>
        </is>
      </c>
    </row>
    <row r="9">
      <c r="A9" s="3" t="inlineStr">
        <is>
          <t>F5</t>
        </is>
      </c>
      <c r="B9" s="4" t="inlineStr">
        <is>
          <t>Solid</t>
        </is>
      </c>
      <c r="C9" s="4" t="inlineStr">
        <is>
          <t>Aluminium DCHX in chloride service</t>
        </is>
      </c>
      <c r="D9" s="4" t="inlineStr">
        <is>
          <t>Sealed/filtered intake, no dissimilar-metal fittings, coating as barrier layer, materials law imported; X8 closure is the primary mitigation</t>
        </is>
      </c>
      <c r="E9" s="42" t="inlineStr">
        <is>
          <t>Corrosion rate PENDING M4</t>
        </is>
      </c>
      <c r="F9" s="4" t="inlineStr">
        <is>
          <t>22 §3</t>
        </is>
      </c>
    </row>
    <row r="10">
      <c r="A10" s="3" t="inlineStr">
        <is>
          <t>F6</t>
        </is>
      </c>
      <c r="B10" s="4" t="inlineStr">
        <is>
          <t>Solid</t>
        </is>
      </c>
      <c r="C10" s="4" t="inlineStr">
        <is>
          <t>The DCHX sensible-cycling bucket is unverified</t>
        </is>
      </c>
      <c r="D10" s="4" t="inlineStr">
        <is>
          <t>Swung heat capacity per unit water swung is unspecified; if the allowance is optimistic, specific energy and continuous regeneration both move upward and bed-to-bed recovery becomes a hard requirement</t>
        </is>
      </c>
      <c r="E10" s="42" t="inlineStr">
        <is>
          <t>PENDING M3 (M1 gates the coated-area denominator)</t>
        </is>
      </c>
      <c r="F10" s="4" t="inlineStr">
        <is>
          <t>doc 40 F6; doc 20 §3–4; doc 22 §1</t>
        </is>
      </c>
    </row>
    <row r="11">
      <c r="A11" s="3" t="inlineStr">
        <is>
          <t>X1</t>
        </is>
      </c>
      <c r="B11" s="4" t="inlineStr">
        <is>
          <t>Shared</t>
        </is>
      </c>
      <c r="C11" s="4" t="inlineStr">
        <is>
          <t>Once-through ventilation and whole-cabin M-cycle never compose</t>
        </is>
      </c>
      <c r="D11" s="4" t="inlineStr">
        <is>
          <t>5.5–11 kg/h absorber duty at DP-A; in recirc topology whole-cabin liquid AC converges to solid-track duty (~10.6 kg/h, ~11 kW) — deferred</t>
        </is>
      </c>
      <c r="E11" s="43" t="inlineStr">
        <is>
          <t>settled</t>
        </is>
      </c>
      <c r="F11" s="4" t="inlineStr">
        <is>
          <t>00 §4/§6; 10 §2</t>
        </is>
      </c>
    </row>
    <row r="12">
      <c r="A12" s="3" t="inlineStr">
        <is>
          <t>X2</t>
        </is>
      </c>
      <c r="B12" s="4" t="inlineStr">
        <is>
          <t>Shared</t>
        </is>
      </c>
      <c r="C12" s="4" t="inlineStr">
        <is>
          <t>Regeneration asymmetry is a theorem</t>
        </is>
      </c>
      <c r="D12" s="4" t="inlineStr">
        <is>
          <t>The sealed still (no purge) keeps positive driving force at any pool &gt;~40 °C; the solid bed hits F2's wall below ~50 °C → liquid = solar layer, solid = waste-heat layer</t>
        </is>
      </c>
      <c r="E12" s="43" t="inlineStr">
        <is>
          <t>settled</t>
        </is>
      </c>
      <c r="F12" s="4" t="inlineStr">
        <is>
          <t>00 §3; 30 §2</t>
        </is>
      </c>
    </row>
    <row r="13">
      <c r="A13" s="3" t="inlineStr">
        <is>
          <t>X3</t>
        </is>
      </c>
      <c r="B13" s="4" t="inlineStr">
        <is>
          <t>Shared</t>
        </is>
      </c>
      <c r="C13" s="4" t="inlineStr">
        <is>
          <t>Liquid desiccant for cabin air is re-scoped, not rejected</t>
        </is>
      </c>
      <c r="D13" s="4" t="inlineStr">
        <is>
          <t>'Rejected absent demonstrated aerosol control' — test B is the arbiter</t>
        </is>
      </c>
      <c r="E13" s="42" t="inlineStr">
        <is>
          <t>PENDING B</t>
        </is>
      </c>
      <c r="F13" s="4" t="inlineStr">
        <is>
          <t>21 §2; 11 §3</t>
        </is>
      </c>
    </row>
    <row r="14">
      <c r="A14" s="3" t="inlineStr">
        <is>
          <t>X4</t>
        </is>
      </c>
      <c r="B14" s="4" t="inlineStr">
        <is>
          <t>Shared</t>
        </is>
      </c>
      <c r="C14" s="4" t="inlineStr">
        <is>
          <t>Materials doctrine flows both ways</t>
        </is>
      </c>
      <c r="D14" s="4" t="inlineStr">
        <is>
          <t>Nylon ban, brazed-plate prohibition, drip discipline and the sourcing heuristic imported to the solid track</t>
        </is>
      </c>
      <c r="E14" s="43" t="inlineStr">
        <is>
          <t>settled</t>
        </is>
      </c>
      <c r="F14" s="4" t="inlineStr">
        <is>
          <t>22 §3</t>
        </is>
      </c>
    </row>
    <row r="15">
      <c r="A15" s="3" t="inlineStr">
        <is>
          <t>X5</t>
        </is>
      </c>
      <c r="B15" s="4" t="inlineStr">
        <is>
          <t>Shared</t>
        </is>
      </c>
      <c r="C15" s="4" t="inlineStr">
        <is>
          <t>The airflow cascade</t>
        </is>
      </c>
      <c r="D15" s="4" t="inlineStr">
        <is>
          <t>Route makeup through the cabin before it becomes working air. Berth scale: full 48 m³/h kept (1,920 vs 2,670 ppm), more cooling (102 vs 86 W), 1.6 °C supply cost</t>
        </is>
      </c>
      <c r="E15" s="42" t="inlineStr">
        <is>
          <t>PENDING H</t>
        </is>
      </c>
      <c r="F15" s="4" t="inlineStr">
        <is>
          <t>10 §2; 20 §2</t>
        </is>
      </c>
    </row>
    <row r="16">
      <c r="A16" s="3" t="inlineStr">
        <is>
          <t>X6</t>
        </is>
      </c>
      <c r="B16" s="4" t="inlineStr">
        <is>
          <t>Liquid</t>
        </is>
      </c>
      <c r="C16" s="4" t="inlineStr">
        <is>
          <t>Mixed-mode recirculation is the occupied baseline</t>
        </is>
      </c>
      <c r="D16" s="4" t="inlineStr">
        <is>
          <t>Once-through fails 4-adult comfort at DP-A (59–66% RH); mixed-mode restores 55% at 0.88 kg/h. Recirc-only prohibited while occupied</t>
        </is>
      </c>
      <c r="E16" s="42" t="inlineStr">
        <is>
          <t>PENDING I</t>
        </is>
      </c>
      <c r="F16" s="4" t="inlineStr">
        <is>
          <t>10 §2; 00 §5</t>
        </is>
      </c>
    </row>
    <row r="17">
      <c r="A17" s="3" t="inlineStr">
        <is>
          <t>X7</t>
        </is>
      </c>
      <c r="B17" s="4" t="inlineStr">
        <is>
          <t>Shared</t>
        </is>
      </c>
      <c r="C17" s="4" t="inlineStr">
        <is>
          <t>ERV latent recovery on the fresh stream</t>
        </is>
      </c>
      <c r="D17" s="4" t="inlineStr">
        <is>
          <t>(1−ε)×10.4 g/kg per kg; ε ≥0.8 saves ~9–10 kWh/day and makes generous ventilation cheap. Needs one ducted exhaust path; crossover &lt;5%</t>
        </is>
      </c>
      <c r="E17" s="42" t="inlineStr">
        <is>
          <t>PENDING E</t>
        </is>
      </c>
      <c r="F17" s="4" t="inlineStr">
        <is>
          <t>11 §5; 20 §2</t>
        </is>
      </c>
    </row>
    <row r="18">
      <c r="A18" s="3" t="inlineStr">
        <is>
          <t>X8</t>
        </is>
      </c>
      <c r="B18" s="4" t="inlineStr">
        <is>
          <t>Shared</t>
        </is>
      </c>
      <c r="C18" s="4" t="inlineStr">
        <is>
          <t>Exhaust-vapour recovery doctrine</t>
        </is>
      </c>
      <c r="D18" s="4" t="inlineStr">
        <is>
          <t>Saturated process exhausts end in distillation recovery; no stream is both rejection sink and recovery source; closed working loop = water-neutral M-cycle</t>
        </is>
      </c>
      <c r="E18" s="42" t="inlineStr">
        <is>
          <t>design intent; PENDING H/G</t>
        </is>
      </c>
      <c r="F18" s="4" t="inlineStr">
        <is>
          <t>00 §7; 20 §8; 11 §4</t>
        </is>
      </c>
    </row>
    <row r="19">
      <c r="A19" s="3" t="inlineStr">
        <is>
          <t>X9</t>
        </is>
      </c>
      <c r="B19" s="4" t="inlineStr">
        <is>
          <t>Shared</t>
        </is>
      </c>
      <c r="C19" s="4" t="inlineStr">
        <is>
          <t>All-electric galley — no combustion in the envelope</t>
        </is>
      </c>
      <c r="D19" s="4" t="inlineStr">
        <is>
          <t>One 2 kW burner = 3.6× the crew's CO₂ + ~0.25 kg/h latent; induction costs ~2 kWh_e/day</t>
        </is>
      </c>
      <c r="E19" s="43" t="inlineStr">
        <is>
          <t>settled (safety register 2)</t>
        </is>
      </c>
      <c r="F19" s="4" t="inlineStr">
        <is>
          <t>00 §5; 30 §4</t>
        </is>
      </c>
    </row>
    <row r="20">
      <c r="A20" s="3" t="inlineStr">
        <is>
          <t>X10</t>
        </is>
      </c>
      <c r="B20" s="4" t="inlineStr">
        <is>
          <t>Shared</t>
        </is>
      </c>
      <c r="C20" s="4" t="inlineStr">
        <is>
          <t>The CO₂ battery</t>
        </is>
      </c>
      <c r="D20" s="4" t="inlineStr">
        <is>
          <t>Two-bed solid-amine TSA, 85–95 °C regen, ~1.6 kg/day for ~1.6–2.5 kWh/day — the only path holding &lt;1,000 ppm sealed</t>
        </is>
      </c>
      <c r="E20" s="44" t="inlineStr">
        <is>
          <t>REQUIRED-PENDING J</t>
        </is>
      </c>
      <c r="F20" s="4" t="inlineStr">
        <is>
          <t>00 §5; 11 §5; 12 §4</t>
        </is>
      </c>
    </row>
    <row r="21">
      <c r="A21" s="3" t="inlineStr">
        <is>
          <t>X11</t>
        </is>
      </c>
      <c r="B21" s="4" t="inlineStr">
        <is>
          <t>Shared</t>
        </is>
      </c>
      <c r="C21" s="4" t="inlineStr">
        <is>
          <t>Sealed-mode CO₂-bed chemistry is heat-grade-dependent</t>
        </is>
      </c>
      <c r="D21" s="4" t="inlineStr">
        <is>
          <t>K₂CO₃/apolar-carbon TSA (130–150 °C) is the waste-heat-platform primary; the amine resin (85–95 °C) is the solar-grade bed; alumina/MgO supports prohibited</t>
        </is>
      </c>
      <c r="E21" s="44" t="inlineStr">
        <is>
          <t>REQUIRED-PENDING J-K</t>
        </is>
      </c>
      <c r="F21" s="4" t="inlineStr">
        <is>
          <t>00 §5; 12 §4–6; 30 §2/§6</t>
        </is>
      </c>
    </row>
    <row r="22">
      <c r="A22" s="3" t="inlineStr">
        <is>
          <t>X12</t>
        </is>
      </c>
      <c r="B22" s="4" t="inlineStr">
        <is>
          <t>Upgrade</t>
        </is>
      </c>
      <c r="C22" s="4" t="inlineStr">
        <is>
          <t>The brine's activity depression is a temperature lift</t>
        </is>
      </c>
      <c r="D22" s="4" t="inlineStr">
        <is>
          <t>A single-stage CaCl₂ absorption heat transformer — sealed still unchanged as generator + condenser — upgrades a 60–65 °C tail to 85–90 °C at COP 0.45–0.48. Ceiling ≲91 °C single-stage</t>
        </is>
      </c>
      <c r="E22" s="42" t="inlineStr">
        <is>
          <t>PENDING L — upgrade path only, never load-bearing</t>
        </is>
      </c>
      <c r="F22" s="4" t="inlineStr">
        <is>
          <t>31 §2; 40 §2</t>
        </is>
      </c>
    </row>
    <row r="23">
      <c r="A23" s="3" t="inlineStr">
        <is>
          <t>X14</t>
        </is>
      </c>
      <c r="B23" s="4" t="inlineStr">
        <is>
          <t>Shared</t>
        </is>
      </c>
      <c r="C23" s="4" t="inlineStr">
        <is>
          <t>Thermal-swing sensible penalty is set by the inert-mass ratio, not by cycle time</t>
        </is>
      </c>
      <c r="D23" s="4" t="inlineStr">
        <is>
          <t>Half-cycle duration cancels; the design levers are inert-mass-to-sorbent ratio and bed-to-bed recovery effectiveness, never cycle speed</t>
        </is>
      </c>
      <c r="E23" s="43" t="inlineStr">
        <is>
          <t>settled</t>
        </is>
      </c>
      <c r="F23" s="4" t="inlineStr">
        <is>
          <t>doc 40 X14; doc 20 §3–4; doc 22 §1</t>
        </is>
      </c>
    </row>
    <row r="24">
      <c r="A24" s="3" t="inlineStr">
        <is>
          <t>P17</t>
        </is>
      </c>
      <c r="B24" s="4" t="inlineStr">
        <is>
          <t>Shared</t>
        </is>
      </c>
      <c r="C24" s="4" t="inlineStr">
        <is>
          <t>CO₂ specification (safety-critical)</t>
        </is>
      </c>
      <c r="D24" s="4" t="inlineStr">
        <is>
          <t>&lt;1,000 ppm at all times in all modes; alarm + forced boost at 2,000 ppm; per-room maximum sensing; mechanical minimum stop on the fresh damper</t>
        </is>
      </c>
      <c r="E24" s="45" t="inlineStr">
        <is>
          <t>binding requirement</t>
        </is>
      </c>
      <c r="F24" s="4" t="inlineStr">
        <is>
          <t>00 §5/§8</t>
        </is>
      </c>
    </row>
    <row r="26" ht="16" customHeight="1">
      <c r="A26" s="7" t="inlineStr">
        <is>
          <t>CORRECTION-TRAIL PRINCIPLE (doc 40 §5)</t>
        </is>
      </c>
      <c r="B26" s="5" t="n"/>
      <c r="C26" s="5" t="n"/>
      <c r="D26" s="5" t="n"/>
      <c r="E26" s="5" t="n"/>
      <c r="F26" s="6" t="n"/>
    </row>
    <row r="27">
      <c r="A27" s="4" t="inlineStr">
        <is>
          <t>Every erratum stays visible. Never cite a margin as a computed value; re-run every comfort claim when the design point moves; solve steady states simultaneously, never as hand chains. The correction trail is part of the design's credibility — and, for a defensive publication, part of the evidentiary record.</t>
        </is>
      </c>
      <c r="B27" s="8" t="n"/>
      <c r="C27" s="8" t="n"/>
      <c r="D27" s="8" t="n"/>
      <c r="E27" s="8" t="n"/>
      <c r="F27" s="9" t="n"/>
    </row>
    <row r="28">
      <c r="A28" s="12" t="n"/>
      <c r="B28" s="13" t="n"/>
      <c r="C28" s="13" t="n"/>
      <c r="D28" s="13" t="n"/>
      <c r="E28" s="13" t="n"/>
      <c r="F28" s="14" t="n"/>
    </row>
    <row r="30" ht="16" customHeight="1">
      <c r="A30" s="7" t="inlineStr">
        <is>
          <t>THE LIQUID-TRACK ERRATA TRAIL (doc 12 §2)</t>
        </is>
      </c>
      <c r="B30" s="5" t="n"/>
      <c r="C30" s="5" t="n"/>
      <c r="D30" s="5" t="n"/>
      <c r="E30" s="5" t="n"/>
      <c r="F30" s="6" t="n"/>
    </row>
    <row r="31">
      <c r="A31" s="3" t="inlineStr">
        <is>
          <t>Erratum 1</t>
        </is>
      </c>
      <c r="B31" s="4" t="inlineStr">
        <is>
          <t>Regeneration heat overstated 2× in first-pass tables</t>
        </is>
      </c>
      <c r="C31" s="5" t="n"/>
      <c r="D31" s="6" t="n"/>
      <c r="E31" s="2" t="inlineStr">
        <is>
          <t>Never cite a margin as a computed value</t>
        </is>
      </c>
    </row>
    <row r="32">
      <c r="A32" s="3" t="inlineStr">
        <is>
          <t>Erratum 2</t>
        </is>
      </c>
      <c r="B32" s="4" t="inlineStr">
        <is>
          <t>Absorber outlet is a band, not a point; cooling reclassified optional → REQUIRED</t>
        </is>
      </c>
      <c r="C32" s="5" t="n"/>
      <c r="D32" s="6" t="n"/>
      <c r="E32" s="2" t="inlineStr"/>
    </row>
    <row r="33">
      <c r="A33" s="3" t="inlineStr">
        <is>
          <t>Erratum 3</t>
        </is>
      </c>
      <c r="B33" s="4" t="inlineStr">
        <is>
          <t>Diffuser dynamic wet pressure was missing from the column blower budget</t>
        </is>
      </c>
      <c r="C33" s="5" t="n"/>
      <c r="D33" s="6" t="n"/>
      <c r="E33" s="2" t="inlineStr">
        <is>
          <t>Drilled rings win</t>
        </is>
      </c>
    </row>
    <row r="34">
      <c r="A34" s="3" t="inlineStr">
        <is>
          <t>Erratum 4</t>
        </is>
      </c>
      <c r="B34" s="4" t="inlineStr">
        <is>
          <t>Nylon removed from approved materials</t>
        </is>
      </c>
      <c r="C34" s="5" t="n"/>
      <c r="D34" s="6" t="n"/>
      <c r="E34" s="2" t="inlineStr">
        <is>
          <t>CaCl₂ stress-cracks loaded polyamides</t>
        </is>
      </c>
    </row>
    <row r="35">
      <c r="A35" s="3" t="inlineStr">
        <is>
          <t>Erratum 5</t>
        </is>
      </c>
      <c r="B35" s="4" t="inlineStr">
        <is>
          <t>Crystallization threshold corrected: 40 wt% liquidus ~12–13 °C, not ~5</t>
        </is>
      </c>
      <c r="C35" s="5" t="n"/>
      <c r="D35" s="6" t="n"/>
      <c r="E35" s="2" t="inlineStr">
        <is>
          <t>Interlock restated at 42/43 wt%</t>
        </is>
      </c>
    </row>
    <row r="36">
      <c r="A36" s="3" t="inlineStr">
        <is>
          <t>Erratum 6</t>
        </is>
      </c>
      <c r="B36" s="4" t="inlineStr">
        <is>
          <t>Regen exhaust condensate: 53 °C dew point rains salty condensate</t>
        </is>
      </c>
      <c r="C36" s="5" t="n"/>
      <c r="D36" s="6" t="n"/>
      <c r="E36" s="2" t="inlineStr">
        <is>
          <t>Sloped drip-leg routing mandatory</t>
        </is>
      </c>
    </row>
    <row r="37">
      <c r="A37" s="3" t="inlineStr">
        <is>
          <t>Erratum 7</t>
        </is>
      </c>
      <c r="B37" s="4" t="inlineStr">
        <is>
          <t>Sparger head constant 1.35–1.4 kPa per 10 cm at SG 1.4</t>
        </is>
      </c>
      <c r="C37" s="5" t="n"/>
      <c r="D37" s="6" t="n"/>
      <c r="E37" s="2" t="inlineStr"/>
    </row>
    <row r="38">
      <c r="A38" s="3" t="inlineStr">
        <is>
          <t>Erratum 8</t>
        </is>
      </c>
      <c r="B38" s="4" t="inlineStr">
        <is>
          <t>Once-through could not deliver 4-adult comfort at DP-A (59–66% RH)</t>
        </is>
      </c>
      <c r="C38" s="5" t="n"/>
      <c r="D38" s="6" t="n"/>
      <c r="E38" s="2" t="inlineStr">
        <is>
          <t>Re-run every comfort claim when the design point moves</t>
        </is>
      </c>
    </row>
    <row r="39">
      <c r="A39" s="3" t="inlineStr">
        <is>
          <t>Erratum 9</t>
        </is>
      </c>
      <c r="B39" s="4" t="inlineStr">
        <is>
          <t>The self-consistent steady state, not the hand chain, sizes the system</t>
        </is>
      </c>
      <c r="C39" s="5" t="n"/>
      <c r="D39" s="6" t="n"/>
      <c r="E39" s="2" t="inlineStr">
        <is>
          <t>Hand chains drifted 15–30% on duty</t>
        </is>
      </c>
    </row>
  </sheetData>
  <autoFilter ref="A4:F24"/>
  <mergeCells count="23">
    <mergeCell ref="E33:F33"/>
    <mergeCell ref="A26:F26"/>
    <mergeCell ref="E39:F39"/>
    <mergeCell ref="B38:D38"/>
    <mergeCell ref="B34:D34"/>
    <mergeCell ref="A2:F2"/>
    <mergeCell ref="E35:F35"/>
    <mergeCell ref="B37:D37"/>
    <mergeCell ref="E38:F38"/>
    <mergeCell ref="E31:F31"/>
    <mergeCell ref="B33:D33"/>
    <mergeCell ref="E34:F34"/>
    <mergeCell ref="B36:D36"/>
    <mergeCell ref="B32:D32"/>
    <mergeCell ref="B35:D35"/>
    <mergeCell ref="A27:F28"/>
    <mergeCell ref="E36:F36"/>
    <mergeCell ref="A30:F30"/>
    <mergeCell ref="B31:D31"/>
    <mergeCell ref="E32:F32"/>
    <mergeCell ref="A1:F1"/>
    <mergeCell ref="E37:F37"/>
    <mergeCell ref="B39:D39"/>
  </mergeCells>
  <printOptions horizontalCentered="1"/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D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96" customWidth="1" min="3" max="3"/>
    <col width="18" customWidth="1" min="4" max="4"/>
  </cols>
  <sheetData>
    <row r="1" ht="22" customHeight="1">
      <c r="A1" s="1" t="inlineStr">
        <is>
          <t>Safety register &amp; materials law</t>
        </is>
      </c>
    </row>
    <row r="2">
      <c r="A2" s="2" t="inlineStr">
        <is>
          <t>BINDING. Any build omitting these departs from this design (doc 00 §8, doc 11 §1).</t>
        </is>
      </c>
    </row>
    <row r="4" ht="30" customHeight="1">
      <c r="A4" s="15" t="inlineStr">
        <is>
          <t>#</t>
        </is>
      </c>
      <c r="B4" s="15" t="inlineStr">
        <is>
          <t>Requirement</t>
        </is>
      </c>
      <c r="C4" s="15" t="inlineStr">
        <is>
          <t>Specification</t>
        </is>
      </c>
      <c r="D4" s="15" t="inlineStr">
        <is>
          <t>Source</t>
        </is>
      </c>
    </row>
    <row r="5">
      <c r="A5" s="46" t="n">
        <v>1</v>
      </c>
      <c r="B5" s="47" t="inlineStr">
        <is>
          <t>CO₂ interlock</t>
        </is>
      </c>
      <c r="C5" s="48" t="inlineStr">
        <is>
          <t>&lt;1,000 ppm target · 2,000 ppm alarm/boost · per-room maximum sensing · mechanical minimum stop on the fresh damper</t>
        </is>
      </c>
      <c r="D5" s="48" t="inlineStr">
        <is>
          <t>00 §5; P17</t>
        </is>
      </c>
    </row>
    <row r="6">
      <c r="A6" s="46" t="n">
        <v>2</v>
      </c>
      <c r="B6" s="47" t="inlineStr">
        <is>
          <t>No combustion in the envelope</t>
        </is>
      </c>
      <c r="C6" s="48" t="inlineStr">
        <is>
          <t>No gas or combustion appliances in the conditioned envelope (X9)</t>
        </is>
      </c>
      <c r="D6" s="48" t="inlineStr">
        <is>
          <t>00 §5; 30 §4</t>
        </is>
      </c>
    </row>
    <row r="7">
      <c r="A7" s="46" t="n">
        <v>3</v>
      </c>
      <c r="B7" s="47" t="inlineStr">
        <is>
          <t>Aerosol control before cabin connection</t>
        </is>
      </c>
      <c r="C7" s="48" t="inlineStr">
        <is>
          <t>Drift eliminator + demister chain and a clean steel-coupon acceptance (test B) before any liquid contactor touches breathing air</t>
        </is>
      </c>
      <c r="D7" s="48" t="inlineStr">
        <is>
          <t>11 §3</t>
        </is>
      </c>
    </row>
    <row r="8">
      <c r="A8" s="46" t="n">
        <v>4</v>
      </c>
      <c r="B8" s="47" t="inlineStr">
        <is>
          <t>CO₂-sorbent breathing-air assay</t>
        </is>
      </c>
      <c r="C8" s="48" t="inlineStr">
        <is>
          <t>Amine/ammonia slip (test J) for amine beds; alkaline particulate/mist carryover (test J-K) for carbonate beds</t>
        </is>
      </c>
      <c r="D8" s="48" t="inlineStr">
        <is>
          <t>00 §5; 12 §4</t>
        </is>
      </c>
    </row>
    <row r="9">
      <c r="A9" s="46" t="n">
        <v>5</v>
      </c>
      <c r="B9" s="47" t="inlineStr">
        <is>
          <t>Distillate potability</t>
        </is>
      </c>
      <c r="C9" s="48" t="inlineStr">
        <is>
          <t>Independent water-quality test before regular consumption; air-swept-condenser water never enters potable or M-cycle service before a TDS assay clears it</t>
        </is>
      </c>
      <c r="D9" s="48" t="inlineStr">
        <is>
          <t>11 §4; 12 §4</t>
        </is>
      </c>
    </row>
    <row r="10">
      <c r="A10" s="46" t="n">
        <v>6</v>
      </c>
      <c r="B10" s="47" t="inlineStr">
        <is>
          <t>Crystallization interlock</t>
        </is>
      </c>
      <c r="C10" s="48" t="inlineStr">
        <is>
          <t>42 wt% high-SG cutoff unless brine ≥22 °C guaranteed; 43 wt% storage cap; drain-back-to-still on stop where an AHT absorber is fitted</t>
        </is>
      </c>
      <c r="D10" s="48" t="inlineStr">
        <is>
          <t>11 §4; 31 §2.6</t>
        </is>
      </c>
    </row>
    <row r="11">
      <c r="A11" s="46" t="n">
        <v>7</v>
      </c>
      <c r="B11" s="47" t="inlineStr">
        <is>
          <t>Two-worlds materials rule</t>
        </is>
      </c>
      <c r="C11" s="48" t="inlineStr">
        <is>
          <t>Applied to every brine- or raw-water-wetted component; never relaxed for land installs — the desiccant itself is the chloride source</t>
        </is>
      </c>
      <c r="D11" s="48" t="inlineStr">
        <is>
          <t>11 §1; 00 §1</t>
        </is>
      </c>
    </row>
    <row r="13" ht="16" customHeight="1">
      <c r="A13" s="7" t="inlineStr">
        <is>
          <t>THE TWO-WORLDS MATERIALS LAW — everything brine- or raw-water-wetted is metal-free</t>
        </is>
      </c>
      <c r="B13" s="5" t="n"/>
      <c r="C13" s="5" t="n"/>
      <c r="D13" s="6" t="n"/>
    </row>
    <row r="14">
      <c r="A14" s="15" t="inlineStr">
        <is>
          <t>Status</t>
        </is>
      </c>
      <c r="B14" s="15" t="inlineStr">
        <is>
          <t>Materials</t>
        </is>
      </c>
      <c r="C14" s="15" t="inlineStr">
        <is>
          <t>Rationale</t>
        </is>
      </c>
      <c r="D14" s="15" t="inlineStr"/>
    </row>
    <row r="15">
      <c r="A15" s="49" t="inlineStr">
        <is>
          <t>Use freely</t>
        </is>
      </c>
      <c r="B15" s="4" t="inlineStr">
        <is>
          <t>PVC (≤60 °C), CPVC (≤93 °C), PP, HDPE/PE/PE-RT, PEX, PVDF, titanium, EPDM, FKM, silicone, ceramic/alumina, glass, acetal (POM)</t>
        </is>
      </c>
      <c r="C15" s="4" t="inlineStr">
        <is>
          <t>Brine and raw-water side is metal-free by rule</t>
        </is>
      </c>
    </row>
    <row r="16">
      <c r="A16" s="50" t="inlineStr">
        <is>
          <t>Never</t>
        </is>
      </c>
      <c r="B16" s="51" t="inlineStr">
        <is>
          <t>Copper, brass, bronze; aluminium (incl. anodized); zinc/galvanized; mild steel; 304 SS; nylon/polyamide</t>
        </is>
      </c>
      <c r="C16" s="51" t="inlineStr">
        <is>
          <t>CaCl₂ is a documented stress-cracking agent for loaded PA parts (erratum 4)</t>
        </is>
      </c>
    </row>
    <row r="17">
      <c r="A17" s="3" t="inlineStr">
        <is>
          <t>Marginal — do not design in</t>
        </is>
      </c>
      <c r="B17" s="4" t="inlineStr">
        <is>
          <t>316/316L</t>
        </is>
      </c>
      <c r="C17" s="4" t="inlineStr">
        <is>
          <t>Brief splash only; never warm immersion or crevice geometry (threads, brazed channels, gasket lands)</t>
        </is>
      </c>
    </row>
    <row r="18">
      <c r="A18" s="3" t="inlineStr">
        <is>
          <t>Wetted fasteners</t>
        </is>
      </c>
      <c r="B18" s="4" t="inlineStr">
        <is>
          <t>PP / PVC / PVDF only</t>
        </is>
      </c>
      <c r="C18" s="4" t="inlineStr">
        <is>
          <t>Parts sold for pools/aquaculture/chemical dosing are probably right; plumbing parts hide brass</t>
        </is>
      </c>
    </row>
    <row r="19">
      <c r="A19" s="50" t="inlineStr">
        <is>
          <t>Prohibited assembly</t>
        </is>
      </c>
      <c r="B19" s="51" t="inlineStr">
        <is>
          <t>Any brazed-plate exchanger (304 + copper braze) on brine or raw water</t>
        </is>
      </c>
      <c r="C19" s="51" t="inlineStr">
        <is>
          <t>Glycol↔buffer isolation duty only</t>
        </is>
      </c>
    </row>
    <row r="20">
      <c r="A20" s="3" t="inlineStr">
        <is>
          <t>Membrane between worlds</t>
        </is>
      </c>
      <c r="B20" s="4" t="inlineStr">
        <is>
          <t>Titanium heat exchangers only</t>
        </is>
      </c>
      <c r="C20" s="4" t="inlineStr">
        <is>
          <t>Never let the two fluids mix</t>
        </is>
      </c>
    </row>
    <row r="21">
      <c r="A21" s="3" t="inlineStr">
        <is>
          <t>AHT absorber (85–90 °C brine)</t>
        </is>
      </c>
      <c r="B21" s="4" t="inlineStr">
        <is>
          <t>PVDF or PP-with-margin; titanium extraction coil</t>
        </is>
      </c>
      <c r="C21" s="4" t="inlineStr">
        <is>
          <t>Past comfortable CPVC territory (93 °C with no margin)</t>
        </is>
      </c>
    </row>
    <row r="22">
      <c r="A22" s="3" t="inlineStr">
        <is>
          <t>Solid-track loop</t>
        </is>
      </c>
      <c r="B22" s="4" t="inlineStr">
        <is>
          <t>All-aluminium + stainless wetted path, distilled water, silicone tubing on the hot loop</t>
        </is>
      </c>
      <c r="C22" s="4" t="inlineStr">
        <is>
          <t>Avoid brass — galvanic couple with the anodic Al plate</t>
        </is>
      </c>
    </row>
    <row r="24">
      <c r="A24" s="4" t="inlineStr">
        <is>
          <t>Rule of thumb: parts sold for pools, aquaculture, or chemical dosing are probably right; parts sold for plumbing hide brass. Titanium heat exchangers are the ONLY membrane between the two worlds — never let the fluids mix. These rules are never relaxed for land installs, because the desiccant itself is the chloride source.</t>
        </is>
      </c>
      <c r="B24" s="8" t="n"/>
      <c r="C24" s="8" t="n"/>
      <c r="D24" s="9" t="n"/>
    </row>
    <row r="25">
      <c r="A25" s="12" t="n"/>
      <c r="B25" s="13" t="n"/>
      <c r="C25" s="13" t="n"/>
      <c r="D25" s="14" t="n"/>
    </row>
  </sheetData>
  <mergeCells count="4">
    <mergeCell ref="A1:D1"/>
    <mergeCell ref="A13:D13"/>
    <mergeCell ref="A2:D2"/>
    <mergeCell ref="A24:D25"/>
  </mergeCells>
  <printOptions horizontalCentered="1"/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G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8" customWidth="1" min="3" max="3"/>
    <col width="52" customWidth="1" min="4" max="4"/>
    <col width="74" customWidth="1" min="5" max="5"/>
    <col width="26" customWidth="1" min="6" max="6"/>
    <col width="62" customWidth="1" min="7" max="7"/>
  </cols>
  <sheetData>
    <row r="1" ht="22" customHeight="1">
      <c r="A1" s="1" t="inlineStr">
        <is>
          <t>Consistency observations</t>
        </is>
      </c>
    </row>
    <row r="2">
      <c r="A2" s="2" t="inlineStr">
        <is>
          <t>Raised while compiling this register by re-deriving each published figure. These are observations for the authors, not errata — no document has been changed.</t>
        </is>
      </c>
    </row>
    <row r="4" ht="30" customHeight="1">
      <c r="A4" s="15" t="inlineStr">
        <is>
          <t>ID</t>
        </is>
      </c>
      <c r="B4" s="15" t="inlineStr">
        <is>
          <t>Type</t>
        </is>
      </c>
      <c r="C4" s="15" t="inlineStr">
        <is>
          <t>Where</t>
        </is>
      </c>
      <c r="D4" s="15" t="inlineStr">
        <is>
          <t>Observation</t>
        </is>
      </c>
      <c r="E4" s="15" t="inlineStr">
        <is>
          <t>What the arithmetic shows</t>
        </is>
      </c>
      <c r="F4" s="15" t="inlineStr">
        <is>
          <t>Impact</t>
        </is>
      </c>
      <c r="G4" s="15" t="inlineStr">
        <is>
          <t>Disposition</t>
        </is>
      </c>
    </row>
    <row r="5">
      <c r="A5" s="3" t="inlineStr">
        <is>
          <t>CHK-001</t>
        </is>
      </c>
      <c r="B5" s="4" t="inlineStr">
        <is>
          <t>Unit label</t>
        </is>
      </c>
      <c r="C5" s="4" t="inlineStr">
        <is>
          <t>12 §1</t>
        </is>
      </c>
      <c r="D5" s="4" t="inlineStr">
        <is>
          <t>Mixed-mode total absorber flow is given as '~123–147 m³/h'</t>
        </is>
      </c>
      <c r="E5" s="4" t="inlineStr">
        <is>
          <t>123 m³/h and 147 kg/h are the same quantity at ρ ≈ 1.2 kg/m³ (147/1.2 = 122.5); the removal build-up 58 kg/h fresh + 90.6 kg/h recirc = 148.6 kg/h confirms it</t>
        </is>
      </c>
      <c r="F5" s="37" t="inlineStr">
        <is>
          <t>Low — presentational</t>
        </is>
      </c>
      <c r="G5" s="4" t="inlineStr">
        <is>
          <t>RESOLVED v1.3 — doc 12 §1 restated as one quantity in two units</t>
        </is>
      </c>
    </row>
    <row r="6">
      <c r="A6" s="3" t="inlineStr">
        <is>
          <t>CHK-002</t>
        </is>
      </c>
      <c r="B6" s="4" t="inlineStr">
        <is>
          <t>Internal consistency</t>
        </is>
      </c>
      <c r="C6" s="4" t="inlineStr">
        <is>
          <t>10 §3 vs 12 §1</t>
        </is>
      </c>
      <c r="D6" s="4" t="inlineStr">
        <is>
          <t>ERV pre-dried fresh air is 17.4 g/kg in doc 10 §3 and 15.9 g/kg in doc 12 §1</t>
        </is>
      </c>
      <c r="E6" s="4" t="inlineStr">
        <is>
          <t>15.9 = 24.2 − 0.8(24.2−13.8) at the specified ε 0.8; 17.4 corresponds to ε ≈ 0.65. The quoted ERV'd removal 0.49 kg/h reproduces only from 17.4 (ε 0.65); ε 0.8 gives 0.40 kg/h</t>
        </is>
      </c>
      <c r="F6" s="42" t="inlineStr">
        <is>
          <t>Medium — affects the ERV'd duty line</t>
        </is>
      </c>
      <c r="G6" s="4" t="inlineStr">
        <is>
          <t>OPEN — recorded as doc 12 §2 erratum 10 and in doc 40's make-or-break list; gated on test E</t>
        </is>
      </c>
    </row>
    <row r="7">
      <c r="A7" s="3" t="inlineStr">
        <is>
          <t>CHK-003</t>
        </is>
      </c>
      <c r="B7" s="4" t="inlineStr">
        <is>
          <t>Basis label</t>
        </is>
      </c>
      <c r="C7" s="4" t="inlineStr">
        <is>
          <t>00 §5</t>
        </is>
      </c>
      <c r="D7" s="4" t="inlineStr">
        <is>
          <t>'0.06 kWh/day per m³/h' (ε 0.8) and 'each 12 m³/h saves ~3.8 kWh/day' sit in the same paragraph</t>
        </is>
      </c>
      <c r="E7" s="4" t="inlineStr">
        <is>
          <t>Both are correct but on different bases: 3.8/12 = 0.317 kWh/day·m³/h is the BARE-fresh figure; 0.06 is the ERV'd one. Ratio 5.3 ≈ 1/(1−ε)</t>
        </is>
      </c>
      <c r="F7" s="37" t="inlineStr">
        <is>
          <t>Low — presentational</t>
        </is>
      </c>
      <c r="G7" s="4" t="inlineStr">
        <is>
          <t>RESOLVED v1.2 — doc 00 §5 now labels both bases</t>
        </is>
      </c>
    </row>
    <row r="8">
      <c r="A8" s="3" t="inlineStr">
        <is>
          <t>CHK-004</t>
        </is>
      </c>
      <c r="B8" s="4" t="inlineStr">
        <is>
          <t>Basis label</t>
        </is>
      </c>
      <c r="C8" s="4" t="inlineStr">
        <is>
          <t>10 §3 vs 12 §1</t>
        </is>
      </c>
      <c r="D8" s="4" t="inlineStr">
        <is>
          <t>Air-side heat removal quoted as ~35 W/K (doc 10) and ~16 W/K (doc 12)</t>
        </is>
      </c>
      <c r="E8" s="4" t="inlineStr">
        <is>
          <t>16.2 W/K is 48 m³/h of fresh air; ~41 W/K would be the 123 m³/h mixed-mode flow. Both are ṁ·c_p at their own flow — not contradictory, but the flow basis is unstated in doc 10</t>
        </is>
      </c>
      <c r="F8" s="37" t="inlineStr">
        <is>
          <t>Low — presentational</t>
        </is>
      </c>
      <c r="G8" s="4" t="inlineStr">
        <is>
          <t>RESOLVED v1.1 — doc 10 §3 now names the flow</t>
        </is>
      </c>
    </row>
    <row r="9">
      <c r="A9" s="3" t="inlineStr">
        <is>
          <t>CHK-005</t>
        </is>
      </c>
      <c r="B9" s="4" t="inlineStr">
        <is>
          <t>Budget arithmetic</t>
        </is>
      </c>
      <c r="C9" s="4" t="inlineStr">
        <is>
          <t>README; 12 §4</t>
        </is>
      </c>
      <c r="D9" s="4" t="inlineStr">
        <is>
          <t>The '~$485–755 gates everything' headline does not decompose from the doc 12 §4 cost column</t>
        </is>
      </c>
      <c r="E9" s="4" t="inlineStr">
        <is>
          <t>The plausible baseline set {A,B,D,E,F,G,H,I,J} sums to $565–885; dropping J gives $415–585. No subset reproduces 485–755 exactly (the range span, 270, matches no combination of the listed spans)</t>
        </is>
      </c>
      <c r="F9" s="42" t="inlineStr">
        <is>
          <t>Medium — traceability</t>
        </is>
      </c>
      <c r="G9" s="4" t="inlineStr">
        <is>
          <t>RESOLVED v1.4 — the aggregate headline is retired; per-test estimates retained and scoped as 2026 order-of-magnitude figures (doc 12 §4)</t>
        </is>
      </c>
    </row>
    <row r="10">
      <c r="A10" s="3" t="inlineStr">
        <is>
          <t>CHK-006</t>
        </is>
      </c>
      <c r="B10" s="4" t="inlineStr">
        <is>
          <t>Model reproduction</t>
        </is>
      </c>
      <c r="C10" s="4" t="inlineStr">
        <is>
          <t>00 §4; 20 §5</t>
        </is>
      </c>
      <c r="D10" s="4" t="inlineStr">
        <is>
          <t>Independent re-solve of the doc 00 §4 steady state</t>
        </is>
      </c>
      <c r="E10" s="4" t="inlineStr">
        <is>
          <t>Reproduces the published band on both topologies (see the Model 00§4 sheet): cabin-draw gives T_sup 18.2 °C, S 0.508 kg/s, ω_cab 9.09 g/kg, M 0.142 kg/s, duty 9.8 kg/h; dry-draw gives T_sup 16.8 °C, S 0.425 kg/s, duty 9.6 kg/h. Both sit inside the published 9–11 kg/h, and regeneration heat lands at 8.2 / 8.3 kW against the published 7.5–9 kW</t>
        </is>
      </c>
      <c r="F10" s="43" t="inlineStr">
        <is>
          <t>Informational — model confirmed</t>
        </is>
      </c>
      <c r="G10" s="4" t="inlineStr">
        <is>
          <t>The published supply-temperature band 16.8–18.1 °C is exactly the span between the two topologies, which is worth stating explicitly in doc 20 §5</t>
        </is>
      </c>
    </row>
    <row r="11">
      <c r="A11" s="3" t="inlineStr">
        <is>
          <t>CHK-007</t>
        </is>
      </c>
      <c r="B11" s="4" t="inlineStr">
        <is>
          <t>Model reproduction</t>
        </is>
      </c>
      <c r="C11" s="4" t="inlineStr">
        <is>
          <t>12 §1</t>
        </is>
      </c>
      <c r="D11" s="4" t="inlineStr">
        <is>
          <t>Independent re-derivation of the 0.88 kg/h mixed-mode peak</t>
        </is>
      </c>
      <c r="E11" s="4" t="inlineStr">
        <is>
          <t>58 kg/h × (24.2−11.9) + 90.6 kg/h × (13.8−11.9) = 0.713 + 0.172 = 0.885 kg/h — exact</t>
        </is>
      </c>
      <c r="F11" s="43" t="inlineStr">
        <is>
          <t>Informational — confirmed</t>
        </is>
      </c>
      <c r="G11" s="4" t="inlineStr"/>
    </row>
    <row r="12">
      <c r="A12" s="3" t="inlineStr">
        <is>
          <t>CHK-008</t>
        </is>
      </c>
      <c r="B12" s="4" t="inlineStr">
        <is>
          <t>Model reproduction</t>
        </is>
      </c>
      <c r="C12" s="4" t="inlineStr">
        <is>
          <t>00 §5</t>
        </is>
      </c>
      <c r="D12" s="4" t="inlineStr">
        <is>
          <t>Independent re-derivation of the CO₂ dose–response ladder</t>
        </is>
      </c>
      <c r="E12" s="4" t="inlineStr">
        <is>
          <t>c = 400 + 10⁶·V̇_CO2/V̇_fresh with V̇_CO2 = 0.072 m³/h reproduces 1,920 / 2,420 / 3,420 / 6,420 ppm and 1,400 ppm asleep exactly — confirming 0.072 m³/h is the four-occupant total, not per person</t>
        </is>
      </c>
      <c r="F12" s="43" t="inlineStr">
        <is>
          <t>Informational — confirmed</t>
        </is>
      </c>
      <c r="G12" s="4" t="inlineStr">
        <is>
          <t>RESOLVED v1.2 — doc 00 §5 labels the rate 'crew total', foreclosing a 4× misreading</t>
        </is>
      </c>
    </row>
    <row r="13">
      <c r="A13" s="3" t="inlineStr">
        <is>
          <t>CHK-009</t>
        </is>
      </c>
      <c r="B13" s="4" t="inlineStr">
        <is>
          <t>Basis constant</t>
        </is>
      </c>
      <c r="C13" s="4" t="inlineStr">
        <is>
          <t>12 §1</t>
        </is>
      </c>
      <c r="D13" s="4" t="inlineStr">
        <is>
          <t>Air mass flows imply a density of ~1.208 kg/m³</t>
        </is>
      </c>
      <c r="E13" s="4" t="inlineStr">
        <is>
          <t>48 m³/h → 58 kg/h and 75 → 90.6 kg/h both back-solve to ρ = 1.208 kg/m³ (standard ~1.2 air, roughly 20 °C). Moist air at DP-A is ~1.145 kg/m³, so the published mass flows — and every duty derived from them — run ~5% high</t>
        </is>
      </c>
      <c r="F13" s="37" t="inlineStr">
        <is>
          <t>Low — conservative direction</t>
        </is>
      </c>
      <c r="G13" s="4" t="inlineStr">
        <is>
          <t>RESOLVED v1.2 — doc 00 §2 states the ρ 1.2 basis</t>
        </is>
      </c>
    </row>
    <row r="14">
      <c r="A14" s="3" t="inlineStr">
        <is>
          <t>CHK-010</t>
        </is>
      </c>
      <c r="B14" s="4" t="inlineStr">
        <is>
          <t>Stated value</t>
        </is>
      </c>
      <c r="C14" s="4" t="inlineStr">
        <is>
          <t>20 §5</t>
        </is>
      </c>
      <c r="D14" s="4" t="inlineStr">
        <is>
          <t>Cabin steady state given as '~9.1 g/kg / ~40% RH'</t>
        </is>
      </c>
      <c r="E14" s="4" t="inlineStr">
        <is>
          <t>9.1 g/kg at the 25 °C cabin target is ~46% RH (Pv 1.461 kPa against Psat 3.169 kPa). ~40% RH at 25 °C would be ω ≈ 7.9 g/kg</t>
        </is>
      </c>
      <c r="F14" s="37" t="inlineStr">
        <is>
          <t>Low — no design consequence</t>
        </is>
      </c>
      <c r="G14" s="4" t="inlineStr">
        <is>
          <t>RESOLVED v1.1 — doc 20 restated at ~46% RH throughout</t>
        </is>
      </c>
    </row>
    <row r="15">
      <c r="A15" s="3" t="inlineStr">
        <is>
          <t>CHK-011</t>
        </is>
      </c>
      <c r="B15" s="4" t="inlineStr">
        <is>
          <t>Model reproduction</t>
        </is>
      </c>
      <c r="C15" s="4" t="inlineStr">
        <is>
          <t>20 §8</t>
        </is>
      </c>
      <c r="D15" s="4" t="inlineStr">
        <is>
          <t>X8 closure penalty at DP-A</t>
        </is>
      </c>
      <c r="E15" s="4" t="inlineStr">
        <is>
          <t>Re-drying saturated exhaust (25.6 g/kg) instead of ambient makeup (24.2 g/kg) raises the working term by ~8% and total duty by ~7% against the same-topology open cycle — consistent with doc 20 §8's '+16% swing, partly bought back'</t>
        </is>
      </c>
      <c r="F15" s="43" t="inlineStr">
        <is>
          <t>Informational — confirmed</t>
        </is>
      </c>
      <c r="G15" s="4" t="inlineStr">
        <is>
          <t>Confirms the doctrine's core claim: at DP-A ambient is nearly as wet as saturated exhaust, so closing the loop is nearly free</t>
        </is>
      </c>
    </row>
    <row r="16">
      <c r="A16" s="3" t="inlineStr">
        <is>
          <t>CHK-012</t>
        </is>
      </c>
      <c r="B16" s="4" t="inlineStr">
        <is>
          <t>Basis label</t>
        </is>
      </c>
      <c r="C16" s="4" t="inlineStr">
        <is>
          <t>12 §1; 20 §6</t>
        </is>
      </c>
      <c r="D16" s="4" t="inlineStr">
        <is>
          <t>Two figures quote a basis their arithmetic does not use</t>
        </is>
      </c>
      <c r="E16" s="4" t="inlineStr">
        <is>
          <t>(a) The 0.92 kW peak regeneration heat needs COP 0.65 — the WITH-recovery-HX value — not the 0.59 build-up printed beside it (0.599/0.65 = 0.921). (b) Doc 20 §6's purge-RH column back-solves to ~23 g/kg, while the text beside it says '~25 g/kg' and M2 is specified at ~24 g/kg</t>
        </is>
      </c>
      <c r="F16" s="37" t="inlineStr">
        <is>
          <t>Low — presentational</t>
        </is>
      </c>
      <c r="G16" s="4" t="inlineStr">
        <is>
          <t>RESOLVED v1.3/v1.1 — doc 12 §1 names COP 0.65; doc 20 §6 records the table's purge basis</t>
        </is>
      </c>
    </row>
    <row r="17">
      <c r="A17" s="3" t="inlineStr">
        <is>
          <t>CHK-013</t>
        </is>
      </c>
      <c r="B17" s="4" t="inlineStr">
        <is>
          <t>Internal consistency</t>
        </is>
      </c>
      <c r="C17" s="4" t="inlineStr">
        <is>
          <t>22 §2 vs 22 §4</t>
        </is>
      </c>
      <c r="D17" s="4" t="inlineStr">
        <is>
          <t>Coating loading and the sizing table's coated area do not reconcile</t>
        </is>
      </c>
      <c r="E17" s="4" t="inlineStr">
        <is>
          <t>Doc 22 §2 specifies ~0.18 kg sorbent/m² planform. The §4 envelope-only row pairs 3–4 kg with 10–13 m², which implies ~0.3 kg/m². At the stated 0.18 kg/m² the same inventory needs ~19 m²</t>
        </is>
      </c>
      <c r="F17" s="42" t="inlineStr">
        <is>
          <t>Medium — sizing consequence</t>
        </is>
      </c>
      <c r="G17" s="4" t="inlineStr">
        <is>
          <t>OPEN — doc 22 §4 open item and doc 40's make-or-break list; gated on M1, size from 0.18 kg/m² meanwhile</t>
        </is>
      </c>
    </row>
    <row r="18">
      <c r="A18" s="3" t="inlineStr">
        <is>
          <t>CHK-014</t>
        </is>
      </c>
      <c r="B18" s="4" t="inlineStr">
        <is>
          <t>Rounding</t>
        </is>
      </c>
      <c r="C18" s="4" t="inlineStr">
        <is>
          <t>20 §5</t>
        </is>
      </c>
      <c r="D18" s="4" t="inlineStr">
        <is>
          <t>Condensate quoted as 150–220 L/day against a 9–11 kg/h duty</t>
        </is>
      </c>
      <c r="E18" s="4" t="inlineStr">
        <is>
          <t>Duty × 24 h gives 216–264 L/day desorbed, so the published condensate range implies that part of the moisture leaves with the ventilation exhaust rather than reaching the condenser — which is physically right but never stated</t>
        </is>
      </c>
      <c r="F18" s="37" t="inlineStr">
        <is>
          <t>Low — presentational</t>
        </is>
      </c>
      <c r="G18" s="4" t="inlineStr">
        <is>
          <t>RESOLVED v1.1 — doc 20 §5 separates the three</t>
        </is>
      </c>
    </row>
    <row r="19">
      <c r="A19" s="3" t="inlineStr">
        <is>
          <t>CHK-015</t>
        </is>
      </c>
      <c r="B19" s="4" t="inlineStr">
        <is>
          <t>Basis mismatch</t>
        </is>
      </c>
      <c r="C19" s="4" t="inlineStr">
        <is>
          <t>20 §3</t>
        </is>
      </c>
      <c r="D19" s="4" t="inlineStr">
        <is>
          <t>Heat-recovery fraction quoted two ways in one sentence</t>
        </is>
      </c>
      <c r="E19" s="4" t="inlineStr">
        <is>
          <t>'Only ~10–15% is recoverable as useful energy' sits beside 'capped by DHW demand (~1–3 kWh/day against 35+ kWh/day liberated)'. The DHW cap is ~3–8% of 35 kWh/day, and only ~1% of the ~200 kWh/day of regeneration input the corrected F1 duty actually implies. The 35 kWh/day figure also predates the F1 correction</t>
        </is>
      </c>
      <c r="F19" s="37" t="inlineStr">
        <is>
          <t>Low — no design consequence</t>
        </is>
      </c>
      <c r="G19" s="4" t="inlineStr">
        <is>
          <t>RESOLVED v1.1 — doc 20 §3 restated against the corrected F1 duty</t>
        </is>
      </c>
    </row>
    <row r="20">
      <c r="A20" s="3" t="inlineStr">
        <is>
          <t>CHK-016</t>
        </is>
      </c>
      <c r="B20" s="4" t="inlineStr">
        <is>
          <t>Sizing basis</t>
        </is>
      </c>
      <c r="C20" s="4" t="inlineStr">
        <is>
          <t>00 §5</t>
        </is>
      </c>
      <c r="D20" s="4" t="inlineStr">
        <is>
          <t>CO₂-battery duty of ~1.6 kg/day is a daily average, not the peak</t>
        </is>
      </c>
      <c r="E20" s="4" t="inlineStr">
        <is>
          <t>Steady-state balance at the 48 m³/h floor: crew 3.42 kg/day all-awake, ventilation removes 1.37 kg/day at 1,000 ppm, so the bed must take 2.05 kg/day — 28% above the published 1.6. The 1.6 figure reproduces only on a 16 h awake / 8 h asleep average. The doc's own 91 m³/h at 50% single-pass capture independently implies 2.16 kg/day, agreeing with the peak rather than with 1.6</t>
        </is>
      </c>
      <c r="F20" s="37" t="inlineStr">
        <is>
          <t>HIGH — safety-critical spec</t>
        </is>
      </c>
      <c r="G20" s="4" t="inlineStr">
        <is>
          <t>OPEN — P17 requires &lt;1,000 ppm AT ALL TIMES, so bed mass and regeneration heat should be sized on the all-awake peak: restate as ~2.05 kg/day peak (1.6 average), scale the bed ~28%, and have test J measure working capacity at the peak rate</t>
        </is>
      </c>
    </row>
    <row r="21">
      <c r="A21" s="3" t="inlineStr">
        <is>
          <t>CHK-017</t>
        </is>
      </c>
      <c r="B21" s="4" t="inlineStr">
        <is>
          <t>Stated threshold</t>
        </is>
      </c>
      <c r="C21" s="4" t="inlineStr">
        <is>
          <t>00 §3</t>
        </is>
      </c>
      <c r="D21" s="4" t="inlineStr">
        <is>
          <t>X2's '~40 °C' still-crossover is the dilute-end figure only</t>
        </is>
      </c>
      <c r="E21" s="4" t="inlineStr">
        <is>
          <t>aw·Psat(T_pool) &gt; Psat(29 °C) gives a crossover of 39.8 °C at aw 0.55 (35 wt%, where regeneration starts), 43.6 °C at aw 0.45 (40 wt%), and 49.1 °C at aw 0.34 (43–44 wt% hot-regen). The single '~40 °C' figure holds only at the start of the concentration swing</t>
        </is>
      </c>
      <c r="F21" s="37" t="inlineStr">
        <is>
          <t>Low — no design consequence</t>
        </is>
      </c>
      <c r="G21" s="4" t="inlineStr">
        <is>
          <t>OPEN — the design pool is 60–93 °C, far above all three, so X2's conclusion is untouched. State the crossover as a function of target concentration, since it sets the minimum useful pool temperature in degraded mode</t>
        </is>
      </c>
    </row>
    <row r="22">
      <c r="A22" s="3" t="inlineStr">
        <is>
          <t>CHK-018</t>
        </is>
      </c>
      <c r="B22" s="4" t="inlineStr">
        <is>
          <t>Cross-track basis</t>
        </is>
      </c>
      <c r="C22" s="4" t="inlineStr">
        <is>
          <t>12 §1 vs 20 §1</t>
        </is>
      </c>
      <c r="D22" s="4" t="inlineStr">
        <is>
          <t>The two tracks assume latent gains differing ~7× for the same platform</t>
        </is>
      </c>
      <c r="E22" s="4" t="inlineStr">
        <is>
          <t>Liquid uses 280 g/h (4 × 70 g/h occupants only); solid uses 1.8–2.8 kg/h 'envelope + occupant'. The 1.72 kg/h non-occupant remainder implies ~0.95 ACH on the solid cabin (~1.37 ACH on the liquid one), against the 0.05–0.15 ACH doc 12 §3 uses for the unattended liquid case and the 0.48 ACH mechanical ventilation floor. Neither track states an ACH</t>
        </is>
      </c>
      <c r="F22" s="42" t="inlineStr">
        <is>
          <t>Medium — traceability</t>
        </is>
      </c>
      <c r="G22" s="4" t="inlineStr">
        <is>
          <t>OPEN — bounded, not architecture-breaking: re-solving doc 00 §4 across gains of 0.64–2.8 kg/h moves duty only 8.8→10.3 kg/h, so F1 and the 9–11 kg/h band both survive. State one envelope-leakage assumption in doc 00 and let both tracks inherit it</t>
        </is>
      </c>
    </row>
    <row r="23">
      <c r="A23" s="3" t="inlineStr">
        <is>
          <t>CHK-019</t>
        </is>
      </c>
      <c r="B23" s="4" t="inlineStr">
        <is>
          <t>Internal consistency</t>
        </is>
      </c>
      <c r="C23" s="4" t="inlineStr">
        <is>
          <t>11 §2</t>
        </is>
      </c>
      <c r="D23" s="4" t="inlineStr">
        <is>
          <t>Cell rating, face-velocity band and NTU approach share no operating point</t>
        </is>
      </c>
      <c r="E23" s="4" t="inlineStr">
        <is>
          <t>A 600×300×150 mm cell has a ~0.09 m² face. At the DP-A baseline (123 m³/h over a 2-cell bank) face velocity is ~0.19 m/s — well under the stated 0.6–1.0 m/s — while the 0.4–0.8 kg/h rating reproduces exactly at that baseline. At 0.6 m/s the same cell passes ~194 m³/h and, at the NTU-1.9 / 85% approach used to size contactor depth, would remove ~2.9 kg/h, far above its own rating</t>
        </is>
      </c>
      <c r="F23" s="42" t="inlineStr">
        <is>
          <t>Medium — gated by test I</t>
        </is>
      </c>
      <c r="G23" s="4" t="inlineStr">
        <is>
          <t>OPEN — reconcilable only at an approach efficiency that falls with face velocity, which is never stated. Test I already measures exactly this (outlet RH vs irrigation and face velocity, staged NTU/m). Publish the rating with its approach and flow, not as a bare kg/h</t>
        </is>
      </c>
    </row>
    <row r="25">
      <c r="A25" s="2" t="inlineStr">
        <is>
          <t>Method: each headline figure was re-derived independently from the stated basis using the Magnus formulation and the doc 00 §4 model, then compared with the published value. CHK-006 through CHK-008 record figures that reproduced exactly and are logged as confirmations, not defects. Per the repository's own doctrine (doc 50 §8), nothing here should be silently corrected — supersede with a version bump and leave the trail visible.</t>
        </is>
      </c>
    </row>
    <row r="26"/>
    <row r="27"/>
  </sheetData>
  <autoFilter ref="A4:G23"/>
  <mergeCells count="3">
    <mergeCell ref="A2:G2"/>
    <mergeCell ref="A1:G1"/>
    <mergeCell ref="A25:G27"/>
  </mergeCells>
  <printOptions horizontalCentered="1"/>
  <pageMargins left="0.75" right="0.75" top="1" bottom="1" header="0.5" footer="0.5"/>
  <pageSetup orientation="landscape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96" customWidth="1" min="3" max="3"/>
    <col width="4" customWidth="1" min="4" max="4"/>
  </cols>
  <sheetData>
    <row r="1" ht="22" customHeight="1">
      <c r="A1" s="1" t="inlineStr">
        <is>
          <t>Source document set</t>
        </is>
      </c>
    </row>
    <row r="2">
      <c r="A2" s="2" t="inlineStr">
        <is>
          <t>The lineage this register was compiled from.</t>
        </is>
      </c>
    </row>
    <row r="4" ht="30" customHeight="1">
      <c r="A4" s="15" t="inlineStr">
        <is>
          <t>Document</t>
        </is>
      </c>
      <c r="B4" s="15" t="inlineStr">
        <is>
          <t>Version</t>
        </is>
      </c>
      <c r="C4" s="15" t="inlineStr">
        <is>
          <t>Contents</t>
        </is>
      </c>
      <c r="D4" s="15" t="inlineStr"/>
    </row>
    <row r="5">
      <c r="A5" s="3" t="inlineStr">
        <is>
          <t>00_platform_basis.md</t>
        </is>
      </c>
      <c r="B5" s="4" t="inlineStr">
        <is>
          <t>v1.5</t>
        </is>
      </c>
      <c r="C5" s="4" t="inlineStr">
        <is>
          <t>Scope, DP-A, shared physics, airflow–moisture model, CO₂ stack, X8 doctrine, safety register</t>
        </is>
      </c>
    </row>
    <row r="6">
      <c r="A6" s="3" t="inlineStr">
        <is>
          <t>10_liquid_concept_physics.md</t>
        </is>
      </c>
      <c r="B6" s="4" t="inlineStr">
        <is>
          <t>v1.1</t>
        </is>
      </c>
      <c r="C6" s="4" t="inlineStr">
        <is>
          <t>Brine principle, mixed-mode baseline, moisture battery, berth cascade, performance envelope</t>
        </is>
      </c>
    </row>
    <row r="7">
      <c r="A7" s="3" t="inlineStr">
        <is>
          <t>11_liquid_architecture_materials.md</t>
        </is>
      </c>
      <c r="B7" s="4" t="inlineStr">
        <is>
          <t>v1.2</t>
        </is>
      </c>
      <c r="C7" s="4" t="inlineStr">
        <is>
          <t>Two-worlds law, film-cell bank, aerosol control, sealed still, ERV/CO₂ hardware, thermal bus</t>
        </is>
      </c>
    </row>
    <row r="8">
      <c r="A8" s="3" t="inlineStr">
        <is>
          <t>12_liquid_numbers_test_plan.md</t>
        </is>
      </c>
      <c r="B8" s="4" t="inlineStr">
        <is>
          <t>v1.4</t>
        </is>
      </c>
      <c r="C8" s="4" t="inlineStr">
        <is>
          <t>Validated quantities at DP-A, errata trail, sensitivities, tests A–L, rejected CO₂ alternatives</t>
        </is>
      </c>
    </row>
    <row r="9">
      <c r="A9" s="3" t="inlineStr">
        <is>
          <t>20_solid_concept_system.md</t>
        </is>
      </c>
      <c r="B9" s="4" t="inlineStr">
        <is>
          <t>v1.2</t>
        </is>
      </c>
      <c r="C9" s="4" t="inlineStr">
        <is>
          <t>Architecture, corrected F1 balance, regeneration-vs-purge physics, X8 closed loop, energy verdicts</t>
        </is>
      </c>
    </row>
    <row r="10">
      <c r="A10" s="3" t="inlineStr">
        <is>
          <t>21_solid_sorbent_synthesis.md</t>
        </is>
      </c>
      <c r="B10" s="4" t="inlineStr">
        <is>
          <t>v1.0</t>
        </is>
      </c>
      <c r="C10" s="4" t="inlineStr">
        <is>
          <t>Isotherm-step selection, candidates, aqueous + LAG routes, F4 branch, QC gates</t>
        </is>
      </c>
    </row>
    <row r="11">
      <c r="A11" s="3" t="inlineStr">
        <is>
          <t>22_solid_module_validation.md</t>
        </is>
      </c>
      <c r="B11" s="4" t="inlineStr">
        <is>
          <t>v1.2</t>
        </is>
      </c>
      <c r="C11" s="4" t="inlineStr">
        <is>
          <t>DCHX design, coating rules, F5 mitigations, bench rig, M1–M4, staged pipeline</t>
        </is>
      </c>
    </row>
    <row r="12">
      <c r="A12" s="3" t="inlineStr">
        <is>
          <t>30_integration_energy_water.md</t>
        </is>
      </c>
      <c r="B12" s="4" t="inlineStr">
        <is>
          <t>v1.3</t>
        </is>
      </c>
      <c r="C12" s="4" t="inlineStr">
        <is>
          <t>Heat cascade, HDH, source roles, all-electric galley, water ladder, degraded operation</t>
        </is>
      </c>
    </row>
    <row r="13">
      <c r="A13" s="3" t="inlineStr">
        <is>
          <t>31_upgrade_paths_sorption_cycles.md</t>
        </is>
      </c>
      <c r="B13" s="4" t="inlineStr">
        <is>
          <t>v1.0</t>
        </is>
      </c>
      <c r="C13" s="4" t="inlineStr">
        <is>
          <t>X12 AHT, coupled VC heat pump, still MVR, closed AlFu chiller, static crystallizer</t>
        </is>
      </c>
    </row>
    <row r="14">
      <c r="A14" s="3" t="inlineStr">
        <is>
          <t>40_findings_register.md</t>
        </is>
      </c>
      <c r="B14" s="4" t="inlineStr">
        <is>
          <t>v1.8</t>
        </is>
      </c>
      <c r="C14" s="4" t="inlineStr">
        <is>
          <t>F1–F6, X1–X12, X14, spec P17, tasks, make-or-break bench list</t>
        </is>
      </c>
    </row>
    <row r="15">
      <c r="A15" s="3" t="inlineStr">
        <is>
          <t>41_bench_bill_of_materials.md</t>
        </is>
      </c>
      <c r="B15" s="4" t="inlineStr">
        <is>
          <t>v1.0</t>
        </is>
      </c>
      <c r="C15" s="4" t="inlineStr">
        <is>
          <t>Bench procurement list: class-and-spec, cheapest-decisive-first; no system BOM (F6/F3 open)</t>
        </is>
      </c>
    </row>
    <row r="16">
      <c r="A16" s="3" t="inlineStr">
        <is>
          <t>50_defensive_disclosure_plan.md</t>
        </is>
      </c>
      <c r="B16" s="4" t="inlineStr">
        <is>
          <t>v1.7</t>
        </is>
      </c>
      <c r="C16" s="4" t="inlineStr">
        <is>
          <t>Venue stack, repo formation, Zenodo procedure, metadata, version discipline</t>
        </is>
      </c>
    </row>
    <row r="17">
      <c r="A17" s="3" t="inlineStr">
        <is>
          <t>executive_summary.md</t>
        </is>
      </c>
      <c r="B17" s="4" t="inlineStr">
        <is>
          <t>v1.4</t>
        </is>
      </c>
      <c r="C17" s="4" t="inlineStr">
        <is>
          <t>Standalone abstract for examiner-channel deposit; carries the concept DOI and repo URL</t>
        </is>
      </c>
    </row>
    <row r="19" ht="16" customHeight="1">
      <c r="A19" s="7" t="inlineStr">
        <is>
          <t>SCOPE &amp; PROVENANCE</t>
        </is>
      </c>
      <c r="B19" s="5" t="n"/>
      <c r="C19" s="5" t="n"/>
      <c r="D19" s="6" t="n"/>
    </row>
    <row r="20">
      <c r="A20" s="3" t="inlineStr">
        <is>
          <t>Reading order</t>
        </is>
      </c>
      <c r="B20" s="4" t="inlineStr">
        <is>
          <t>00 (shared basis) → 10–12 (liquid) → 20–22 (solid) → 30–31 (integration, upgrades) → 40 (findings) → 50 (disclosure)</t>
        </is>
      </c>
      <c r="C20" s="5" t="n"/>
      <c r="D20" s="6" t="n"/>
    </row>
    <row r="21">
      <c r="A21" s="3" t="inlineStr">
        <is>
          <t>Single source rule</t>
        </is>
      </c>
      <c r="B21" s="4" t="inlineStr">
        <is>
          <t>Doc 00 is the single source for scope, design point, shared psychrometrics, the airflow–moisture model, the CO₂ stack, the X8 doctrine, and the safety register. Track docs reference it, never restate it</t>
        </is>
      </c>
      <c r="C21" s="5" t="n"/>
      <c r="D21" s="6" t="n"/>
    </row>
    <row r="22">
      <c r="A22" s="3" t="inlineStr">
        <is>
          <t>What this workbook is</t>
        </is>
      </c>
      <c r="B22" s="4" t="inlineStr">
        <is>
          <t>A derived working artifact. The documents remain authoritative; where this workbook and a document disagree, the document wins and the Checks sheet records the discrepancy</t>
        </is>
      </c>
      <c r="C22" s="5" t="n"/>
      <c r="D22" s="6" t="n"/>
    </row>
    <row r="23">
      <c r="A23" s="3" t="inlineStr">
        <is>
          <t>What this workbook is not</t>
        </is>
      </c>
      <c r="B23" s="4" t="inlineStr">
        <is>
          <t>Not a measurement record. No figure here is measured data unless its grade says so — and none currently does</t>
        </is>
      </c>
      <c r="C23" s="5" t="n"/>
      <c r="D23" s="6" t="n"/>
    </row>
    <row r="24">
      <c r="A24" s="3" t="inlineStr">
        <is>
          <t>Regeneration</t>
        </is>
      </c>
      <c r="B24" s="4" t="inlineStr">
        <is>
          <t>python3 scripts/build_parameter_workbook.py [output.xlsx] — regenerate rather than hand-edit, so the register stays traceable to the documents</t>
        </is>
      </c>
      <c r="C24" s="5" t="n"/>
      <c r="D24" s="6" t="n"/>
    </row>
    <row r="25">
      <c r="A25" s="3" t="inlineStr">
        <is>
          <t>Licensing</t>
        </is>
      </c>
      <c r="B25" s="4" t="inlineStr">
        <is>
          <t>Workbook content CC-BY-4.0 with the documentation; generator script MIT with scripts/</t>
        </is>
      </c>
      <c r="C25" s="5" t="n"/>
      <c r="D25" s="6" t="n"/>
    </row>
    <row r="26">
      <c r="A26" s="3" t="inlineStr">
        <is>
          <t>Disclosure</t>
        </is>
      </c>
      <c r="B26" s="4" t="inlineStr">
        <is>
          <t>Open defensive publication · concept DOI 10.5281/zenodo.21544099 · version DOI 10.5281/zenodo.21544100 · no patents sought or held</t>
        </is>
      </c>
      <c r="C26" s="5" t="n"/>
      <c r="D26" s="6" t="n"/>
    </row>
  </sheetData>
  <mergeCells count="10">
    <mergeCell ref="A1:D1"/>
    <mergeCell ref="B23:D23"/>
    <mergeCell ref="B22:D22"/>
    <mergeCell ref="B26:D26"/>
    <mergeCell ref="B21:D21"/>
    <mergeCell ref="A19:D19"/>
    <mergeCell ref="A2:D2"/>
    <mergeCell ref="B25:D25"/>
    <mergeCell ref="B24:D24"/>
    <mergeCell ref="B20:D20"/>
  </mergeCells>
  <printOptions horizontalCentered="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slice-cooling · scripts/build_parameter_workbook.py</dc:creator>
  <dc:title xmlns:dc="http://purl.org/dc/elements/1.1/">Heat-Driven Comfort &amp; Water — Parameter Register</dc:title>
  <dc:description xmlns:dc="http://purl.org/dc/elements/1.1/">Every quantitative claim in the slice-cooling document lineage, with confidence grades, gating tests, sources, and live re-derivations. Paper design — nothing built.</dc:description>
  <dc:subject xmlns:dc="http://purl.org/dc/elements/1.1/">Defensive publication parameter register at DP-A</dc:subject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keywords>liquid desiccant; aluminium fumarate; DP-A; defensive publication; prior art</cp:keywords>
</cp:coreProperties>
</file>